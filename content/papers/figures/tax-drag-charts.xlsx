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esh\Projects\quantcfa\content\papers\figures\"/>
    </mc:Choice>
  </mc:AlternateContent>
  <xr:revisionPtr revIDLastSave="0" documentId="13_ncr:1_{B52B5746-ADEA-4B80-810F-E0021332B620}" xr6:coauthVersionLast="47" xr6:coauthVersionMax="47" xr10:uidLastSave="{00000000-0000-0000-0000-000000000000}"/>
  <bookViews>
    <workbookView xWindow="165" yWindow="3045" windowWidth="38115" windowHeight="25860" xr2:uid="{00000000-000D-0000-FFFF-FFFF00000000}"/>
  </bookViews>
  <sheets>
    <sheet name="SRC alpha" sheetId="1" r:id="rId1"/>
    <sheet name="RMD alph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2" l="1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H22" i="2"/>
  <c r="I22" i="2" s="1"/>
  <c r="H21" i="2"/>
  <c r="I21" i="2" s="1"/>
  <c r="H20" i="2"/>
  <c r="I20" i="2" s="1"/>
  <c r="H19" i="2"/>
  <c r="I19" i="2" s="1"/>
  <c r="H18" i="2"/>
  <c r="I18" i="2" s="1"/>
  <c r="H17" i="2"/>
  <c r="B6" i="2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I47" i="1" s="1"/>
  <c r="I23" i="2" l="1"/>
  <c r="J25" i="2"/>
  <c r="J59" i="2"/>
  <c r="J58" i="2"/>
  <c r="J57" i="2"/>
  <c r="J56" i="2"/>
  <c r="J55" i="2"/>
  <c r="J54" i="2"/>
  <c r="J52" i="2"/>
  <c r="J28" i="2"/>
  <c r="J23" i="2"/>
  <c r="J22" i="2"/>
  <c r="J18" i="2"/>
  <c r="J33" i="2"/>
  <c r="J32" i="2"/>
  <c r="H61" i="2"/>
  <c r="J19" i="2"/>
  <c r="J17" i="2"/>
  <c r="J31" i="2"/>
  <c r="J29" i="2"/>
  <c r="J21" i="2"/>
  <c r="J53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20" i="2"/>
  <c r="I17" i="2"/>
  <c r="J24" i="2"/>
  <c r="J38" i="2"/>
  <c r="J37" i="2"/>
  <c r="J36" i="2"/>
  <c r="J35" i="2"/>
  <c r="J34" i="2"/>
  <c r="J30" i="2"/>
  <c r="J27" i="2"/>
  <c r="J26" i="2"/>
  <c r="I59" i="1"/>
  <c r="I57" i="1"/>
  <c r="I50" i="1"/>
  <c r="H39" i="1"/>
  <c r="I56" i="1"/>
  <c r="I39" i="1"/>
  <c r="I44" i="1"/>
  <c r="I46" i="1"/>
  <c r="I52" i="1"/>
  <c r="I41" i="1"/>
  <c r="I53" i="1"/>
  <c r="I58" i="1"/>
  <c r="I51" i="1"/>
  <c r="G61" i="1"/>
  <c r="I48" i="1"/>
  <c r="I55" i="1"/>
  <c r="I54" i="1"/>
  <c r="I49" i="1"/>
  <c r="I40" i="1"/>
  <c r="I45" i="1"/>
  <c r="I43" i="1"/>
  <c r="I42" i="1"/>
  <c r="I22" i="1"/>
  <c r="I29" i="1"/>
  <c r="I21" i="1"/>
  <c r="I31" i="1"/>
  <c r="I34" i="1"/>
  <c r="I19" i="1"/>
  <c r="I18" i="1"/>
  <c r="I17" i="1"/>
  <c r="H17" i="1"/>
  <c r="I28" i="1"/>
  <c r="I35" i="1"/>
  <c r="I27" i="1"/>
  <c r="I36" i="1"/>
  <c r="I37" i="1"/>
  <c r="I26" i="1"/>
  <c r="I38" i="1"/>
  <c r="I25" i="1"/>
  <c r="I32" i="1"/>
  <c r="I24" i="1"/>
  <c r="I30" i="1"/>
  <c r="I23" i="1"/>
  <c r="I33" i="1"/>
  <c r="I20" i="1"/>
  <c r="K17" i="2" l="1"/>
  <c r="K21" i="2"/>
  <c r="K22" i="2"/>
  <c r="K38" i="2"/>
  <c r="K39" i="2"/>
  <c r="K40" i="2"/>
  <c r="K41" i="2"/>
  <c r="K42" i="2"/>
  <c r="K43" i="2"/>
  <c r="K44" i="2"/>
  <c r="K45" i="2"/>
  <c r="K47" i="2"/>
  <c r="K48" i="2"/>
  <c r="K49" i="2"/>
  <c r="K50" i="2"/>
  <c r="K51" i="2"/>
  <c r="K55" i="2"/>
  <c r="K18" i="2"/>
  <c r="K53" i="2"/>
  <c r="K54" i="2"/>
  <c r="K56" i="2"/>
  <c r="K57" i="2"/>
  <c r="K58" i="2"/>
  <c r="K59" i="2"/>
  <c r="I61" i="2"/>
  <c r="K52" i="2"/>
  <c r="K20" i="2"/>
  <c r="K29" i="2"/>
  <c r="K19" i="2"/>
  <c r="K23" i="2"/>
  <c r="K25" i="2"/>
  <c r="K26" i="2"/>
  <c r="K27" i="2"/>
  <c r="K31" i="2"/>
  <c r="K32" i="2"/>
  <c r="K33" i="2"/>
  <c r="K24" i="2"/>
  <c r="K28" i="2"/>
  <c r="K30" i="2"/>
  <c r="K34" i="2"/>
  <c r="K35" i="2"/>
  <c r="K36" i="2"/>
  <c r="K37" i="2"/>
  <c r="K46" i="2"/>
  <c r="J17" i="1"/>
  <c r="J18" i="1"/>
  <c r="J19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42" i="1"/>
  <c r="J51" i="1"/>
  <c r="H61" i="1"/>
  <c r="J48" i="1"/>
  <c r="J52" i="1"/>
  <c r="J56" i="1"/>
  <c r="J44" i="1"/>
  <c r="J57" i="1"/>
  <c r="J41" i="1"/>
  <c r="J43" i="1"/>
  <c r="J50" i="1"/>
  <c r="J53" i="1"/>
  <c r="J58" i="1"/>
  <c r="J39" i="1"/>
  <c r="J40" i="1"/>
  <c r="J45" i="1"/>
  <c r="J46" i="1"/>
  <c r="J47" i="1"/>
  <c r="J49" i="1"/>
  <c r="J54" i="1"/>
  <c r="J55" i="1"/>
  <c r="J59" i="1"/>
  <c r="J20" i="1"/>
</calcChain>
</file>

<file path=xl/sharedStrings.xml><?xml version="1.0" encoding="utf-8"?>
<sst xmlns="http://schemas.openxmlformats.org/spreadsheetml/2006/main" count="64" uniqueCount="41">
  <si>
    <t>SRC Alpha (Wrapper Migration) - Moves Taxable Cash into the Roth</t>
  </si>
  <si>
    <t>Figure 1, tax-drag-jfp.md. K in a sheltered Roth (7%) vs. a taxable account (6.65%); RMDs 2039–2058, then a 10-year beneficiary annuity. Age is blank in beneficiary years.</t>
  </si>
  <si>
    <t>Outside Tax Payment</t>
  </si>
  <si>
    <t>Conversion tax K</t>
  </si>
  <si>
    <t>Return</t>
  </si>
  <si>
    <t>Pre-tax return r; also the PV discount rate</t>
  </si>
  <si>
    <t>Tax Drag</t>
  </si>
  <si>
    <t>Share of return lost to tax in the taxable account</t>
  </si>
  <si>
    <t>To Age</t>
  </si>
  <si>
    <t>Owner's age in the last distribution year (2058)</t>
  </si>
  <si>
    <t>Dist Years</t>
  </si>
  <si>
    <t>Owner-life distribution years (2039–2058)</t>
  </si>
  <si>
    <t>Dist Method</t>
  </si>
  <si>
    <t>RMD</t>
  </si>
  <si>
    <t>RMDs from age 75, then 10-year beneficiary annuity</t>
  </si>
  <si>
    <t>Base year</t>
  </si>
  <si>
    <t>PV is discounted to this year</t>
  </si>
  <si>
    <t>Year</t>
  </si>
  <si>
    <t>Age</t>
  </si>
  <si>
    <t>Roth Balance</t>
  </si>
  <si>
    <t>Tax-Drag Balance</t>
  </si>
  <si>
    <t>Roth distribution</t>
  </si>
  <si>
    <t>Tax-Drag distribution</t>
  </si>
  <si>
    <t>Yearly gap</t>
  </si>
  <si>
    <t>Yearly gap PV</t>
  </si>
  <si>
    <t>Tax-Drag Benefit - Cum</t>
  </si>
  <si>
    <t>Tax-Drag Benefit - Cum PV</t>
  </si>
  <si>
    <t>Gridline helper (even years)</t>
  </si>
  <si>
    <t>Total</t>
  </si>
  <si>
    <t>RMD Reduction Alpha — Benefit of avoiding RMDs on $96,359 of after-distribution-tax principal</t>
  </si>
  <si>
    <t>Figure 2, tax-drag-jfp.md. 75% of each avoided RMD is reinvested in parallel Roth (7%) and taxable (6.65%) balances 2039–2058; both then distribute as a 10-year beneficiary annuity. Age is blank in beneficiary years.</t>
  </si>
  <si>
    <t>Conversion Amount</t>
  </si>
  <si>
    <t>C, the 22% bracket fill</t>
  </si>
  <si>
    <t>Displaced tax rate tD</t>
  </si>
  <si>
    <t>Paper rounds to 20.89%; this value reproduces P = $96,359</t>
  </si>
  <si>
    <t>After-tax principal C(1−tD)</t>
  </si>
  <si>
    <t>Reinvestment share</t>
  </si>
  <si>
    <t>Share of each avoided RMD reinvested</t>
  </si>
  <si>
    <t>After-Tax Principal C(1−tD)</t>
  </si>
  <si>
    <t>Dist Reinvest - Roth</t>
  </si>
  <si>
    <t>Dist Reinvest - Tax-Drag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</si>
</sst>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\-"/>
    <numFmt numFmtId="165" formatCode="0.0%"/>
    <numFmt numFmtId="166" formatCode="\$#,##0.00;\(\$#,##0.00\);\-"/>
    <numFmt numFmtId="167" formatCode="0.0000%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name val="Arial"/>
    </font>
    <font>
      <sz val="11"/>
      <name val="Arial"/>
    </font>
    <font>
      <sz val="11"/>
      <color rgb="FF0000FF"/>
      <name val="Arial"/>
    </font>
    <font>
      <b/>
      <sz val="11"/>
      <name val="Arial"/>
    </font>
    <font>
      <sz val="11"/>
      <color rgb="FFA6A6A6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49" fontId="4" fillId="0" borderId="0" xfId="0" applyNumberFormat="1" applyFont="1"/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66" fontId="4" fillId="0" borderId="0" xfId="0" applyNumberFormat="1" applyFont="1"/>
    <xf numFmtId="166" fontId="3" fillId="0" borderId="0" xfId="0" applyNumberFormat="1" applyFont="1"/>
    <xf numFmtId="164" fontId="3" fillId="0" borderId="0" xfId="0" applyNumberFormat="1" applyFont="1"/>
    <xf numFmtId="0" fontId="6" fillId="0" borderId="0" xfId="0" applyFont="1"/>
    <xf numFmtId="0" fontId="5" fillId="0" borderId="0" xfId="0" applyFont="1"/>
    <xf numFmtId="164" fontId="5" fillId="0" borderId="0" xfId="0" applyNumberFormat="1" applyFont="1"/>
    <xf numFmtId="167" fontId="4" fillId="0" borderId="0" xfId="0" applyNumberFormat="1" applyFont="1"/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00" b="0">
                <a:latin typeface="Arial" panose="020B0604020202020204" pitchFamily="34" charset="0"/>
              </a:defRPr>
            </a:pPr>
            <a:r>
              <a:rPr lang="en-US" sz="1200" b="1">
                <a:latin typeface="Arial" panose="020B0604020202020204" pitchFamily="34" charset="0"/>
              </a:rPr>
              <a:t>SRC Alpha (Wrapper Migration)</a:t>
            </a:r>
            <a:r>
              <a:rPr lang="en-US" sz="1000" b="0">
                <a:latin typeface="Arial" panose="020B0604020202020204" pitchFamily="34" charset="0"/>
              </a:rPr>
              <a:t> - Moves Taxable Cash into the Roth
Outside Tax Payment: $17,966     Return: 7.0%     Tax Drag: 5.0%     To Age: 94     Dist Years: 20     Dist Method: RMD
</a:t>
            </a:r>
            <a:r>
              <a:rPr lang="en-US" sz="1000" b="1">
                <a:latin typeface="Arial" panose="020B0604020202020204" pitchFamily="34" charset="0"/>
              </a:rPr>
              <a:t>Benefit FV:</a:t>
            </a:r>
            <a:r>
              <a:rPr lang="en-US" sz="1000" b="0">
                <a:latin typeface="Arial" panose="020B0604020202020204" pitchFamily="34" charset="0"/>
              </a:rPr>
              <a:t> $12,129     </a:t>
            </a:r>
            <a:r>
              <a:rPr lang="en-US" sz="1000" b="1">
                <a:latin typeface="Arial" panose="020B0604020202020204" pitchFamily="34" charset="0"/>
              </a:rPr>
              <a:t>PV:</a:t>
            </a:r>
            <a:r>
              <a:rPr lang="en-US" sz="1000" b="0">
                <a:latin typeface="Arial" panose="020B0604020202020204" pitchFamily="34" charset="0"/>
              </a:rPr>
              <a:t> $1,480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2"/>
          <c:order val="2"/>
          <c:tx>
            <c:strRef>
              <c:f>'SRC alpha'!$I$16</c:f>
              <c:strCache>
                <c:ptCount val="1"/>
                <c:pt idx="0">
                  <c:v>Tax-Drag Benefit - Cum</c:v>
                </c:pt>
              </c:strCache>
            </c:strRef>
          </c:tx>
          <c:spPr>
            <a:solidFill>
              <a:srgbClr val="90CAF9"/>
            </a:solidFill>
            <a:ln>
              <a:solidFill>
                <a:srgbClr val="1565C0"/>
              </a:solidFill>
              <a:prstDash val="solid"/>
            </a:ln>
          </c:spPr>
          <c:invertIfNegative val="1"/>
          <c:val>
            <c:numRef>
              <c:f>'SRC alpha'!$I$17:$I$59</c:f>
              <c:numCache>
                <c:formatCode>\$#,##0;\(\$#,##0\);\-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63.409999999999854</c:v>
                </c:pt>
                <c:pt idx="14">
                  <c:v>136.90999999999985</c:v>
                </c:pt>
                <c:pt idx="15">
                  <c:v>221.18999999999983</c:v>
                </c:pt>
                <c:pt idx="16">
                  <c:v>317.72999999999979</c:v>
                </c:pt>
                <c:pt idx="17">
                  <c:v>427.79999999999995</c:v>
                </c:pt>
                <c:pt idx="18">
                  <c:v>552.76</c:v>
                </c:pt>
                <c:pt idx="19">
                  <c:v>693.39999999999986</c:v>
                </c:pt>
                <c:pt idx="20">
                  <c:v>851.97</c:v>
                </c:pt>
                <c:pt idx="21">
                  <c:v>1029.24</c:v>
                </c:pt>
                <c:pt idx="22">
                  <c:v>1227.99</c:v>
                </c:pt>
                <c:pt idx="23">
                  <c:v>1448.91</c:v>
                </c:pt>
                <c:pt idx="24">
                  <c:v>1693.8500000000001</c:v>
                </c:pt>
                <c:pt idx="25">
                  <c:v>1964.7700000000002</c:v>
                </c:pt>
                <c:pt idx="26">
                  <c:v>2261.5600000000004</c:v>
                </c:pt>
                <c:pt idx="27">
                  <c:v>2588.3800000000006</c:v>
                </c:pt>
                <c:pt idx="28">
                  <c:v>2944.5600000000004</c:v>
                </c:pt>
                <c:pt idx="29">
                  <c:v>3331.7500000000005</c:v>
                </c:pt>
                <c:pt idx="30">
                  <c:v>3751.57</c:v>
                </c:pt>
                <c:pt idx="31">
                  <c:v>4205.5500000000011</c:v>
                </c:pt>
                <c:pt idx="32">
                  <c:v>4689.9600000000019</c:v>
                </c:pt>
                <c:pt idx="33">
                  <c:v>5433.9000000000024</c:v>
                </c:pt>
                <c:pt idx="34">
                  <c:v>6177.8400000000029</c:v>
                </c:pt>
                <c:pt idx="35">
                  <c:v>6921.7800000000034</c:v>
                </c:pt>
                <c:pt idx="36">
                  <c:v>7665.7200000000039</c:v>
                </c:pt>
                <c:pt idx="37">
                  <c:v>8409.6600000000035</c:v>
                </c:pt>
                <c:pt idx="38">
                  <c:v>9153.600000000004</c:v>
                </c:pt>
                <c:pt idx="39">
                  <c:v>9897.5400000000045</c:v>
                </c:pt>
                <c:pt idx="40">
                  <c:v>10641.480000000005</c:v>
                </c:pt>
                <c:pt idx="41">
                  <c:v>11385.420000000006</c:v>
                </c:pt>
                <c:pt idx="42">
                  <c:v>12129.360000000006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565C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95A-4122-BC8F-6D81D37C8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15126288"/>
        <c:axId val="566978864"/>
      </c:barChart>
      <c:lineChart>
        <c:grouping val="standard"/>
        <c:varyColors val="1"/>
        <c:ser>
          <c:idx val="0"/>
          <c:order val="0"/>
          <c:tx>
            <c:strRef>
              <c:f>'SRC alpha'!$C$16</c:f>
              <c:strCache>
                <c:ptCount val="1"/>
                <c:pt idx="0">
                  <c:v>Roth Balance</c:v>
                </c:pt>
              </c:strCache>
            </c:strRef>
          </c:tx>
          <c:spPr>
            <a:ln w="22000">
              <a:solidFill>
                <a:srgbClr val="1565C0"/>
              </a:solidFill>
              <a:prstDash val="solid"/>
            </a:ln>
          </c:spPr>
          <c:marker>
            <c:symbol val="none"/>
          </c:marker>
          <c:cat>
            <c:numRef>
              <c:f>'SRC alpha'!$A$17:$A$59</c:f>
              <c:numCache>
                <c:formatCode>0</c:formatCode>
                <c:ptCount val="4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</c:numCache>
            </c:numRef>
          </c:cat>
          <c:val>
            <c:numRef>
              <c:f>'SRC alpha'!$C$17:$C$59</c:f>
              <c:numCache>
                <c:formatCode>\$#,##0;\(\$#,##0\);\-</c:formatCode>
                <c:ptCount val="43"/>
                <c:pt idx="0">
                  <c:v>17966</c:v>
                </c:pt>
                <c:pt idx="1">
                  <c:v>19224</c:v>
                </c:pt>
                <c:pt idx="2">
                  <c:v>20569</c:v>
                </c:pt>
                <c:pt idx="3">
                  <c:v>22009</c:v>
                </c:pt>
                <c:pt idx="4">
                  <c:v>23550</c:v>
                </c:pt>
                <c:pt idx="5">
                  <c:v>25198</c:v>
                </c:pt>
                <c:pt idx="6">
                  <c:v>26962</c:v>
                </c:pt>
                <c:pt idx="7">
                  <c:v>28849</c:v>
                </c:pt>
                <c:pt idx="8">
                  <c:v>30869</c:v>
                </c:pt>
                <c:pt idx="9">
                  <c:v>33030</c:v>
                </c:pt>
                <c:pt idx="10">
                  <c:v>35342</c:v>
                </c:pt>
                <c:pt idx="11">
                  <c:v>37816</c:v>
                </c:pt>
                <c:pt idx="12">
                  <c:v>40463</c:v>
                </c:pt>
                <c:pt idx="13">
                  <c:v>41650</c:v>
                </c:pt>
                <c:pt idx="14">
                  <c:v>42809</c:v>
                </c:pt>
                <c:pt idx="15">
                  <c:v>43936</c:v>
                </c:pt>
                <c:pt idx="16">
                  <c:v>45014</c:v>
                </c:pt>
                <c:pt idx="17">
                  <c:v>46032</c:v>
                </c:pt>
                <c:pt idx="18">
                  <c:v>46975</c:v>
                </c:pt>
                <c:pt idx="19">
                  <c:v>47842</c:v>
                </c:pt>
                <c:pt idx="20">
                  <c:v>48605</c:v>
                </c:pt>
                <c:pt idx="21">
                  <c:v>49261</c:v>
                </c:pt>
                <c:pt idx="22">
                  <c:v>49777</c:v>
                </c:pt>
                <c:pt idx="23">
                  <c:v>50151</c:v>
                </c:pt>
                <c:pt idx="24">
                  <c:v>50362</c:v>
                </c:pt>
                <c:pt idx="25">
                  <c:v>50390</c:v>
                </c:pt>
                <c:pt idx="26">
                  <c:v>50239</c:v>
                </c:pt>
                <c:pt idx="27">
                  <c:v>49861</c:v>
                </c:pt>
                <c:pt idx="28">
                  <c:v>49265</c:v>
                </c:pt>
                <c:pt idx="29">
                  <c:v>48429</c:v>
                </c:pt>
                <c:pt idx="30">
                  <c:v>47335</c:v>
                </c:pt>
                <c:pt idx="31">
                  <c:v>45962</c:v>
                </c:pt>
                <c:pt idx="32">
                  <c:v>44341</c:v>
                </c:pt>
                <c:pt idx="33">
                  <c:v>41132</c:v>
                </c:pt>
                <c:pt idx="34">
                  <c:v>37698</c:v>
                </c:pt>
                <c:pt idx="35">
                  <c:v>34024</c:v>
                </c:pt>
                <c:pt idx="36">
                  <c:v>30092</c:v>
                </c:pt>
                <c:pt idx="37">
                  <c:v>25885</c:v>
                </c:pt>
                <c:pt idx="38">
                  <c:v>21384</c:v>
                </c:pt>
                <c:pt idx="39">
                  <c:v>16568</c:v>
                </c:pt>
                <c:pt idx="40">
                  <c:v>11414</c:v>
                </c:pt>
                <c:pt idx="41">
                  <c:v>5900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A-4122-BC8F-6D81D37C8848}"/>
            </c:ext>
          </c:extLst>
        </c:ser>
        <c:ser>
          <c:idx val="1"/>
          <c:order val="1"/>
          <c:tx>
            <c:strRef>
              <c:f>'SRC alpha'!$D$16</c:f>
              <c:strCache>
                <c:ptCount val="1"/>
                <c:pt idx="0">
                  <c:v>Tax-Drag Balance</c:v>
                </c:pt>
              </c:strCache>
            </c:strRef>
          </c:tx>
          <c:spPr>
            <a:ln w="22000">
              <a:solidFill>
                <a:srgbClr val="D32F2F"/>
              </a:solidFill>
              <a:prstDash val="solid"/>
            </a:ln>
          </c:spPr>
          <c:marker>
            <c:symbol val="none"/>
          </c:marker>
          <c:cat>
            <c:numRef>
              <c:f>'SRC alpha'!$A$17:$A$59</c:f>
              <c:numCache>
                <c:formatCode>0</c:formatCode>
                <c:ptCount val="4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</c:numCache>
            </c:numRef>
          </c:cat>
          <c:val>
            <c:numRef>
              <c:f>'SRC alpha'!$D$17:$D$59</c:f>
              <c:numCache>
                <c:formatCode>\$#,##0;\(\$#,##0\);\-</c:formatCode>
                <c:ptCount val="43"/>
                <c:pt idx="0">
                  <c:v>17966</c:v>
                </c:pt>
                <c:pt idx="1">
                  <c:v>19161</c:v>
                </c:pt>
                <c:pt idx="2">
                  <c:v>20435</c:v>
                </c:pt>
                <c:pt idx="3">
                  <c:v>21794</c:v>
                </c:pt>
                <c:pt idx="4">
                  <c:v>23243</c:v>
                </c:pt>
                <c:pt idx="5">
                  <c:v>24789</c:v>
                </c:pt>
                <c:pt idx="6">
                  <c:v>26437</c:v>
                </c:pt>
                <c:pt idx="7">
                  <c:v>28195</c:v>
                </c:pt>
                <c:pt idx="8">
                  <c:v>30070</c:v>
                </c:pt>
                <c:pt idx="9">
                  <c:v>32070</c:v>
                </c:pt>
                <c:pt idx="10">
                  <c:v>34203</c:v>
                </c:pt>
                <c:pt idx="11">
                  <c:v>36477</c:v>
                </c:pt>
                <c:pt idx="12">
                  <c:v>38903</c:v>
                </c:pt>
                <c:pt idx="13">
                  <c:v>39908</c:v>
                </c:pt>
                <c:pt idx="14">
                  <c:v>40879</c:v>
                </c:pt>
                <c:pt idx="15">
                  <c:v>41812</c:v>
                </c:pt>
                <c:pt idx="16">
                  <c:v>42692</c:v>
                </c:pt>
                <c:pt idx="17">
                  <c:v>43507</c:v>
                </c:pt>
                <c:pt idx="18">
                  <c:v>44247</c:v>
                </c:pt>
                <c:pt idx="19">
                  <c:v>44909</c:v>
                </c:pt>
                <c:pt idx="20">
                  <c:v>45467</c:v>
                </c:pt>
                <c:pt idx="21">
                  <c:v>45922</c:v>
                </c:pt>
                <c:pt idx="22">
                  <c:v>46243</c:v>
                </c:pt>
                <c:pt idx="23">
                  <c:v>46428</c:v>
                </c:pt>
                <c:pt idx="24">
                  <c:v>46461</c:v>
                </c:pt>
                <c:pt idx="25">
                  <c:v>46324</c:v>
                </c:pt>
                <c:pt idx="26">
                  <c:v>46023</c:v>
                </c:pt>
                <c:pt idx="27">
                  <c:v>45516</c:v>
                </c:pt>
                <c:pt idx="28">
                  <c:v>44812</c:v>
                </c:pt>
                <c:pt idx="29">
                  <c:v>43895</c:v>
                </c:pt>
                <c:pt idx="30">
                  <c:v>42750</c:v>
                </c:pt>
                <c:pt idx="31">
                  <c:v>41360</c:v>
                </c:pt>
                <c:pt idx="32">
                  <c:v>39757</c:v>
                </c:pt>
                <c:pt idx="33">
                  <c:v>36831</c:v>
                </c:pt>
                <c:pt idx="34">
                  <c:v>33711</c:v>
                </c:pt>
                <c:pt idx="35">
                  <c:v>30384</c:v>
                </c:pt>
                <c:pt idx="36">
                  <c:v>26835</c:v>
                </c:pt>
                <c:pt idx="37">
                  <c:v>23051</c:v>
                </c:pt>
                <c:pt idx="38">
                  <c:v>19014</c:v>
                </c:pt>
                <c:pt idx="39">
                  <c:v>14709</c:v>
                </c:pt>
                <c:pt idx="40">
                  <c:v>10118</c:v>
                </c:pt>
                <c:pt idx="41">
                  <c:v>5222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A-4122-BC8F-6D81D37C8848}"/>
            </c:ext>
          </c:extLst>
        </c:ser>
        <c:ser>
          <c:idx val="3"/>
          <c:order val="3"/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errBars>
            <c:errDir val="y"/>
            <c:errBarType val="plus"/>
            <c:errValType val="fixedVal"/>
            <c:noEndCap val="1"/>
            <c:val val="60000"/>
            <c:spPr>
              <a:ln w="9525">
                <a:solidFill>
                  <a:srgbClr val="D9D9D9"/>
                </a:solidFill>
                <a:prstDash val="dash"/>
              </a:ln>
            </c:spPr>
          </c:errBars>
          <c:cat>
            <c:numRef>
              <c:f>'SRC alpha'!$A$17:$A$59</c:f>
              <c:numCache>
                <c:formatCode>0</c:formatCode>
                <c:ptCount val="4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</c:numCache>
            </c:numRef>
          </c:cat>
          <c:val>
            <c:numRef>
              <c:f>'SRC alpha'!$K$17:$K$59</c:f>
              <c:numCache>
                <c:formatCode>General</c:formatCode>
                <c:ptCount val="43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A-4122-BC8F-6D81D37C8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  <c:max val="60000"/>
        </c:scaling>
        <c:delete val="0"/>
        <c:axPos val="l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56697886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900" b="1"/>
                </a:pPr>
                <a:r>
                  <a:rPr lang="en-US"/>
                  <a:t>Cumulative Benefit</a:t>
                </a:r>
              </a:p>
            </c:rich>
          </c:tx>
          <c:overlay val="0"/>
        </c:title>
        <c:numFmt formatCode="&quot;$&quot;#,##0" sourceLinked="0"/>
        <c:majorTickMark val="out"/>
        <c:minorTickMark val="none"/>
        <c:tickLblPos val="nextTo"/>
        <c:crossAx val="715126288"/>
        <c:crosses val="max"/>
        <c:crossBetween val="between"/>
      </c:valAx>
      <c:catAx>
        <c:axId val="715126288"/>
        <c:scaling>
          <c:orientation val="minMax"/>
        </c:scaling>
        <c:delete val="1"/>
        <c:axPos val="b"/>
        <c:majorTickMark val="out"/>
        <c:minorTickMark val="none"/>
        <c:tickLblPos val="nextTo"/>
        <c:crossAx val="566978864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3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000" b="0">
                <a:latin typeface="Arial" panose="020B0604020202020204" pitchFamily="34" charset="0"/>
              </a:defRPr>
            </a:pPr>
            <a:r>
              <a:rPr lang="en-US" sz="1200" b="1">
                <a:latin typeface="Arial" panose="020B0604020202020204" pitchFamily="34" charset="0"/>
              </a:rPr>
              <a:t>RMD Reduction Alpha</a:t>
            </a:r>
            <a:r>
              <a:rPr lang="en-US" sz="1000" b="0">
                <a:latin typeface="Arial" panose="020B0604020202020204" pitchFamily="34" charset="0"/>
              </a:rPr>
              <a:t> — Benefit of avoiding RMDs on $96,359 of after-distribution-tax principal
Conversion Amount: $121,800     Return: 7.0%     Tax Drag: 5.0%     To Age: 94     Dist Years: 20     Dist Method: RMD
</a:t>
            </a:r>
            <a:r>
              <a:rPr lang="en-US" sz="1000" b="1">
                <a:latin typeface="Arial" panose="020B0604020202020204" pitchFamily="34" charset="0"/>
              </a:rPr>
              <a:t>Benefit FV:</a:t>
            </a:r>
            <a:r>
              <a:rPr lang="en-US" sz="1000" b="0">
                <a:latin typeface="Arial" panose="020B0604020202020204" pitchFamily="34" charset="0"/>
              </a:rPr>
              <a:t> $30,261     </a:t>
            </a:r>
            <a:r>
              <a:rPr lang="en-US" sz="1000" b="1">
                <a:latin typeface="Arial" panose="020B0604020202020204" pitchFamily="34" charset="0"/>
              </a:rPr>
              <a:t>PV:</a:t>
            </a:r>
            <a:r>
              <a:rPr lang="en-US" sz="1000" b="0">
                <a:latin typeface="Arial" panose="020B0604020202020204" pitchFamily="34" charset="0"/>
              </a:rPr>
              <a:t> $2,439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3"/>
          <c:order val="3"/>
          <c:tx>
            <c:strRef>
              <c:f>'RMD alpha'!$J$16</c:f>
              <c:strCache>
                <c:ptCount val="1"/>
                <c:pt idx="0">
                  <c:v>Tax-Drag Benefit - Cum</c:v>
                </c:pt>
              </c:strCache>
            </c:strRef>
          </c:tx>
          <c:spPr>
            <a:solidFill>
              <a:srgbClr val="81C784"/>
            </a:solidFill>
            <a:ln>
              <a:solidFill>
                <a:srgbClr val="2E7D32"/>
              </a:solidFill>
              <a:prstDash val="solid"/>
            </a:ln>
          </c:spPr>
          <c:invertIfNegative val="1"/>
          <c:val>
            <c:numRef>
              <c:f>'RMD alpha'!$J$17:$J$59</c:f>
              <c:numCache>
                <c:formatCode>\$#,##0;\(\$#,##0\);\-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3026.1200000000026</c:v>
                </c:pt>
                <c:pt idx="34">
                  <c:v>6052.2400000000052</c:v>
                </c:pt>
                <c:pt idx="35">
                  <c:v>9078.3600000000079</c:v>
                </c:pt>
                <c:pt idx="36">
                  <c:v>12104.48000000001</c:v>
                </c:pt>
                <c:pt idx="37">
                  <c:v>15130.600000000013</c:v>
                </c:pt>
                <c:pt idx="38">
                  <c:v>18156.720000000016</c:v>
                </c:pt>
                <c:pt idx="39">
                  <c:v>21182.840000000018</c:v>
                </c:pt>
                <c:pt idx="40">
                  <c:v>24208.960000000021</c:v>
                </c:pt>
                <c:pt idx="41">
                  <c:v>27235.080000000024</c:v>
                </c:pt>
                <c:pt idx="42">
                  <c:v>30261.200000000026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D3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FE5-47AB-B7AD-E5D503CE0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07780688"/>
        <c:axId val="566977424"/>
      </c:barChart>
      <c:lineChart>
        <c:grouping val="standard"/>
        <c:varyColors val="1"/>
        <c:ser>
          <c:idx val="0"/>
          <c:order val="0"/>
          <c:tx>
            <c:strRef>
              <c:f>'RMD alpha'!$C$16</c:f>
              <c:strCache>
                <c:ptCount val="1"/>
                <c:pt idx="0">
                  <c:v>After-Tax Principal C(1−tD)</c:v>
                </c:pt>
              </c:strCache>
            </c:strRef>
          </c:tx>
          <c:spPr>
            <a:ln w="22000">
              <a:solidFill>
                <a:srgbClr val="FF9800"/>
              </a:solidFill>
              <a:prstDash val="dash"/>
            </a:ln>
          </c:spPr>
          <c:marker>
            <c:symbol val="none"/>
          </c:marker>
          <c:cat>
            <c:numRef>
              <c:f>'RMD alpha'!$A$17:$A$59</c:f>
              <c:numCache>
                <c:formatCode>0</c:formatCode>
                <c:ptCount val="4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</c:numCache>
            </c:numRef>
          </c:cat>
          <c:val>
            <c:numRef>
              <c:f>'RMD alpha'!$C$17:$C$59</c:f>
              <c:numCache>
                <c:formatCode>\$#,##0;\(\$#,##0\);\-</c:formatCode>
                <c:ptCount val="43"/>
                <c:pt idx="0">
                  <c:v>96359</c:v>
                </c:pt>
                <c:pt idx="1">
                  <c:v>103104</c:v>
                </c:pt>
                <c:pt idx="2">
                  <c:v>110321</c:v>
                </c:pt>
                <c:pt idx="3">
                  <c:v>118044</c:v>
                </c:pt>
                <c:pt idx="4">
                  <c:v>126307</c:v>
                </c:pt>
                <c:pt idx="5">
                  <c:v>135148</c:v>
                </c:pt>
                <c:pt idx="6">
                  <c:v>144609</c:v>
                </c:pt>
                <c:pt idx="7">
                  <c:v>154731</c:v>
                </c:pt>
                <c:pt idx="8">
                  <c:v>165562</c:v>
                </c:pt>
                <c:pt idx="9">
                  <c:v>177152</c:v>
                </c:pt>
                <c:pt idx="10">
                  <c:v>189552</c:v>
                </c:pt>
                <c:pt idx="11">
                  <c:v>202821</c:v>
                </c:pt>
                <c:pt idx="12">
                  <c:v>217018</c:v>
                </c:pt>
                <c:pt idx="13">
                  <c:v>223388</c:v>
                </c:pt>
                <c:pt idx="14">
                  <c:v>229599</c:v>
                </c:pt>
                <c:pt idx="15">
                  <c:v>235645</c:v>
                </c:pt>
                <c:pt idx="16">
                  <c:v>241429</c:v>
                </c:pt>
                <c:pt idx="17">
                  <c:v>246887</c:v>
                </c:pt>
                <c:pt idx="18">
                  <c:v>251947</c:v>
                </c:pt>
                <c:pt idx="19">
                  <c:v>256596</c:v>
                </c:pt>
                <c:pt idx="20">
                  <c:v>260688</c:v>
                </c:pt>
                <c:pt idx="21">
                  <c:v>264208</c:v>
                </c:pt>
                <c:pt idx="22">
                  <c:v>266976</c:v>
                </c:pt>
                <c:pt idx="23">
                  <c:v>268978</c:v>
                </c:pt>
                <c:pt idx="24">
                  <c:v>270111</c:v>
                </c:pt>
                <c:pt idx="25">
                  <c:v>270261</c:v>
                </c:pt>
                <c:pt idx="26">
                  <c:v>269452</c:v>
                </c:pt>
                <c:pt idx="27">
                  <c:v>267426</c:v>
                </c:pt>
                <c:pt idx="28">
                  <c:v>264225</c:v>
                </c:pt>
                <c:pt idx="29">
                  <c:v>259745</c:v>
                </c:pt>
                <c:pt idx="30">
                  <c:v>253877</c:v>
                </c:pt>
                <c:pt idx="31">
                  <c:v>246512</c:v>
                </c:pt>
                <c:pt idx="32">
                  <c:v>237819</c:v>
                </c:pt>
                <c:pt idx="33">
                  <c:v>220606</c:v>
                </c:pt>
                <c:pt idx="34">
                  <c:v>202189</c:v>
                </c:pt>
                <c:pt idx="35">
                  <c:v>182482</c:v>
                </c:pt>
                <c:pt idx="36">
                  <c:v>161395</c:v>
                </c:pt>
                <c:pt idx="37">
                  <c:v>138833</c:v>
                </c:pt>
                <c:pt idx="38">
                  <c:v>114691</c:v>
                </c:pt>
                <c:pt idx="39">
                  <c:v>88860</c:v>
                </c:pt>
                <c:pt idx="40">
                  <c:v>61220</c:v>
                </c:pt>
                <c:pt idx="41">
                  <c:v>31645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5-47AB-B7AD-E5D503CE0451}"/>
            </c:ext>
          </c:extLst>
        </c:ser>
        <c:ser>
          <c:idx val="1"/>
          <c:order val="1"/>
          <c:tx>
            <c:strRef>
              <c:f>'RMD alpha'!$D$16</c:f>
              <c:strCache>
                <c:ptCount val="1"/>
                <c:pt idx="0">
                  <c:v>Dist Reinvest - Roth</c:v>
                </c:pt>
              </c:strCache>
            </c:strRef>
          </c:tx>
          <c:spPr>
            <a:ln w="22000">
              <a:solidFill>
                <a:srgbClr val="1565C0"/>
              </a:solidFill>
              <a:prstDash val="solid"/>
            </a:ln>
          </c:spPr>
          <c:marker>
            <c:symbol val="none"/>
          </c:marker>
          <c:cat>
            <c:numRef>
              <c:f>'RMD alpha'!$A$17:$A$59</c:f>
              <c:numCache>
                <c:formatCode>0</c:formatCode>
                <c:ptCount val="4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</c:numCache>
            </c:numRef>
          </c:cat>
          <c:val>
            <c:numRef>
              <c:f>'RMD alpha'!$D$17:$D$59</c:f>
              <c:numCache>
                <c:formatCode>\$#,##0;\(\$#,##0\);\-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6616</c:v>
                </c:pt>
                <c:pt idx="14">
                  <c:v>14149</c:v>
                </c:pt>
                <c:pt idx="15">
                  <c:v>22659</c:v>
                </c:pt>
                <c:pt idx="16">
                  <c:v>32278</c:v>
                </c:pt>
                <c:pt idx="17">
                  <c:v>43119</c:v>
                </c:pt>
                <c:pt idx="18">
                  <c:v>55304</c:v>
                </c:pt>
                <c:pt idx="19">
                  <c:v>68916</c:v>
                </c:pt>
                <c:pt idx="20">
                  <c:v>84143</c:v>
                </c:pt>
                <c:pt idx="21">
                  <c:v>101079</c:v>
                </c:pt>
                <c:pt idx="22">
                  <c:v>119949</c:v>
                </c:pt>
                <c:pt idx="23">
                  <c:v>140860</c:v>
                </c:pt>
                <c:pt idx="24">
                  <c:v>163992</c:v>
                </c:pt>
                <c:pt idx="25">
                  <c:v>189540</c:v>
                </c:pt>
                <c:pt idx="26">
                  <c:v>217603</c:v>
                </c:pt>
                <c:pt idx="27">
                  <c:v>248501</c:v>
                </c:pt>
                <c:pt idx="28">
                  <c:v>282336</c:v>
                </c:pt>
                <c:pt idx="29">
                  <c:v>319332</c:v>
                </c:pt>
                <c:pt idx="30">
                  <c:v>359723</c:v>
                </c:pt>
                <c:pt idx="31">
                  <c:v>403756</c:v>
                </c:pt>
                <c:pt idx="32">
                  <c:v>451480</c:v>
                </c:pt>
                <c:pt idx="33">
                  <c:v>418803</c:v>
                </c:pt>
                <c:pt idx="34">
                  <c:v>383839</c:v>
                </c:pt>
                <c:pt idx="35">
                  <c:v>346427</c:v>
                </c:pt>
                <c:pt idx="36">
                  <c:v>306396</c:v>
                </c:pt>
                <c:pt idx="37">
                  <c:v>263563</c:v>
                </c:pt>
                <c:pt idx="38">
                  <c:v>217732</c:v>
                </c:pt>
                <c:pt idx="39">
                  <c:v>168693</c:v>
                </c:pt>
                <c:pt idx="40">
                  <c:v>116221</c:v>
                </c:pt>
                <c:pt idx="41">
                  <c:v>60075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E5-47AB-B7AD-E5D503CE0451}"/>
            </c:ext>
          </c:extLst>
        </c:ser>
        <c:ser>
          <c:idx val="2"/>
          <c:order val="2"/>
          <c:tx>
            <c:strRef>
              <c:f>'RMD alpha'!$E$16</c:f>
              <c:strCache>
                <c:ptCount val="1"/>
                <c:pt idx="0">
                  <c:v>Dist Reinvest - Tax-Drag</c:v>
                </c:pt>
              </c:strCache>
            </c:strRef>
          </c:tx>
          <c:spPr>
            <a:ln w="22000">
              <a:solidFill>
                <a:srgbClr val="D32F2F"/>
              </a:solidFill>
              <a:prstDash val="solid"/>
            </a:ln>
          </c:spPr>
          <c:marker>
            <c:symbol val="none"/>
          </c:marker>
          <c:cat>
            <c:numRef>
              <c:f>'RMD alpha'!$A$17:$A$59</c:f>
              <c:numCache>
                <c:formatCode>0</c:formatCode>
                <c:ptCount val="4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</c:numCache>
            </c:numRef>
          </c:cat>
          <c:val>
            <c:numRef>
              <c:f>'RMD alpha'!$E$17:$E$59</c:f>
              <c:numCache>
                <c:formatCode>\$#,##0;\(\$#,##0\);\-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6616</c:v>
                </c:pt>
                <c:pt idx="14">
                  <c:v>14126</c:v>
                </c:pt>
                <c:pt idx="15">
                  <c:v>22585</c:v>
                </c:pt>
                <c:pt idx="16">
                  <c:v>32120</c:v>
                </c:pt>
                <c:pt idx="17">
                  <c:v>42837</c:v>
                </c:pt>
                <c:pt idx="18">
                  <c:v>54853</c:v>
                </c:pt>
                <c:pt idx="19">
                  <c:v>68241</c:v>
                </c:pt>
                <c:pt idx="20">
                  <c:v>83181</c:v>
                </c:pt>
                <c:pt idx="21">
                  <c:v>99759</c:v>
                </c:pt>
                <c:pt idx="22">
                  <c:v>118188</c:v>
                </c:pt>
                <c:pt idx="23">
                  <c:v>138562</c:v>
                </c:pt>
                <c:pt idx="24">
                  <c:v>161048</c:v>
                </c:pt>
                <c:pt idx="25">
                  <c:v>185826</c:v>
                </c:pt>
                <c:pt idx="26">
                  <c:v>212979</c:v>
                </c:pt>
                <c:pt idx="27">
                  <c:v>242808</c:v>
                </c:pt>
                <c:pt idx="28">
                  <c:v>275394</c:v>
                </c:pt>
                <c:pt idx="29">
                  <c:v>310940</c:v>
                </c:pt>
                <c:pt idx="30">
                  <c:v>349656</c:v>
                </c:pt>
                <c:pt idx="31">
                  <c:v>391760</c:v>
                </c:pt>
                <c:pt idx="32">
                  <c:v>437274</c:v>
                </c:pt>
                <c:pt idx="33">
                  <c:v>405098</c:v>
                </c:pt>
                <c:pt idx="34">
                  <c:v>370782</c:v>
                </c:pt>
                <c:pt idx="35">
                  <c:v>334185</c:v>
                </c:pt>
                <c:pt idx="36">
                  <c:v>295154</c:v>
                </c:pt>
                <c:pt idx="37">
                  <c:v>253527</c:v>
                </c:pt>
                <c:pt idx="38">
                  <c:v>209132</c:v>
                </c:pt>
                <c:pt idx="39">
                  <c:v>161785</c:v>
                </c:pt>
                <c:pt idx="40">
                  <c:v>111289</c:v>
                </c:pt>
                <c:pt idx="41">
                  <c:v>57435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E5-47AB-B7AD-E5D503CE0451}"/>
            </c:ext>
          </c:extLst>
        </c:ser>
        <c:ser>
          <c:idx val="4"/>
          <c:order val="4"/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errBars>
            <c:errDir val="y"/>
            <c:errBarType val="plus"/>
            <c:errValType val="fixedVal"/>
            <c:noEndCap val="1"/>
            <c:val val="500000"/>
            <c:spPr>
              <a:ln w="9525">
                <a:solidFill>
                  <a:srgbClr val="D9D9D9"/>
                </a:solidFill>
                <a:prstDash val="dash"/>
              </a:ln>
            </c:spPr>
          </c:errBars>
          <c:cat>
            <c:numRef>
              <c:f>'RMD alpha'!$A$17:$A$59</c:f>
              <c:numCache>
                <c:formatCode>0</c:formatCode>
                <c:ptCount val="4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</c:numCache>
            </c:numRef>
          </c:cat>
          <c:val>
            <c:numRef>
              <c:f>'RMD alpha'!$L$17:$L$59</c:f>
              <c:numCache>
                <c:formatCode>General</c:formatCode>
                <c:ptCount val="43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E5-47AB-B7AD-E5D503CE0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  <c:max val="500000"/>
        </c:scaling>
        <c:delete val="0"/>
        <c:axPos val="l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56697742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900" b="1"/>
                </a:pPr>
                <a:r>
                  <a:rPr lang="en-US"/>
                  <a:t>Cumulative Benefit</a:t>
                </a:r>
              </a:p>
            </c:rich>
          </c:tx>
          <c:overlay val="0"/>
        </c:title>
        <c:numFmt formatCode="&quot;$&quot;#,##0" sourceLinked="0"/>
        <c:majorTickMark val="out"/>
        <c:minorTickMark val="none"/>
        <c:tickLblPos val="nextTo"/>
        <c:crossAx val="707780688"/>
        <c:crosses val="max"/>
        <c:crossBetween val="between"/>
      </c:valAx>
      <c:catAx>
        <c:axId val="707780688"/>
        <c:scaling>
          <c:orientation val="minMax"/>
        </c:scaling>
        <c:delete val="1"/>
        <c:axPos val="b"/>
        <c:majorTickMark val="out"/>
        <c:minorTickMark val="none"/>
        <c:tickLblPos val="nextTo"/>
        <c:crossAx val="566977424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4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15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/>
  </sheetViews>
  <sheetFormatPr defaultRowHeight="15" x14ac:dyDescent="0.25"/>
  <cols>
    <col min="1" max="1" width="24" customWidth="1"/>
    <col min="2" max="10" width="14" customWidth="1"/>
  </cols>
  <sheetData>
    <row r="1" spans="1:11" ht="15.75" x14ac:dyDescent="0.25">
      <c r="A1" s="1" t="s">
        <v>0</v>
      </c>
    </row>
    <row r="2" spans="1:11" x14ac:dyDescent="0.25">
      <c r="A2" s="2" t="s">
        <v>1</v>
      </c>
    </row>
    <row r="4" spans="1:11" x14ac:dyDescent="0.25">
      <c r="A4" s="3" t="s">
        <v>2</v>
      </c>
      <c r="B4" s="4">
        <v>17966</v>
      </c>
      <c r="C4" s="2" t="s">
        <v>3</v>
      </c>
    </row>
    <row r="5" spans="1:11" x14ac:dyDescent="0.25">
      <c r="A5" s="3" t="s">
        <v>4</v>
      </c>
      <c r="B5" s="5">
        <v>7.0000000000000007E-2</v>
      </c>
      <c r="C5" s="2" t="s">
        <v>5</v>
      </c>
    </row>
    <row r="6" spans="1:11" x14ac:dyDescent="0.25">
      <c r="A6" s="3" t="s">
        <v>6</v>
      </c>
      <c r="B6" s="5">
        <v>0.05</v>
      </c>
      <c r="C6" s="2" t="s">
        <v>7</v>
      </c>
    </row>
    <row r="7" spans="1:11" x14ac:dyDescent="0.25">
      <c r="A7" s="3" t="s">
        <v>8</v>
      </c>
      <c r="B7" s="6">
        <v>94</v>
      </c>
      <c r="C7" s="2" t="s">
        <v>9</v>
      </c>
    </row>
    <row r="8" spans="1:11" x14ac:dyDescent="0.25">
      <c r="A8" s="3" t="s">
        <v>10</v>
      </c>
      <c r="B8" s="6">
        <v>20</v>
      </c>
      <c r="C8" s="2" t="s">
        <v>11</v>
      </c>
    </row>
    <row r="9" spans="1:11" x14ac:dyDescent="0.25">
      <c r="A9" s="3" t="s">
        <v>12</v>
      </c>
      <c r="B9" s="7" t="s">
        <v>13</v>
      </c>
      <c r="C9" s="2" t="s">
        <v>14</v>
      </c>
    </row>
    <row r="10" spans="1:11" x14ac:dyDescent="0.25">
      <c r="A10" s="3" t="s">
        <v>15</v>
      </c>
      <c r="B10" s="6">
        <v>2026</v>
      </c>
      <c r="C10" s="2" t="s">
        <v>16</v>
      </c>
    </row>
    <row r="16" spans="1:11" ht="45" customHeight="1" x14ac:dyDescent="0.25">
      <c r="A16" s="8" t="s">
        <v>17</v>
      </c>
      <c r="B16" s="8" t="s">
        <v>18</v>
      </c>
      <c r="C16" s="8" t="s">
        <v>19</v>
      </c>
      <c r="D16" s="8" t="s">
        <v>20</v>
      </c>
      <c r="E16" s="8" t="s">
        <v>21</v>
      </c>
      <c r="F16" s="8" t="s">
        <v>22</v>
      </c>
      <c r="G16" s="8" t="s">
        <v>23</v>
      </c>
      <c r="H16" s="8" t="s">
        <v>24</v>
      </c>
      <c r="I16" s="8" t="s">
        <v>25</v>
      </c>
      <c r="J16" s="8" t="s">
        <v>26</v>
      </c>
      <c r="K16" s="9" t="s">
        <v>27</v>
      </c>
    </row>
    <row r="17" spans="1:11" x14ac:dyDescent="0.25">
      <c r="A17" s="6">
        <v>2026</v>
      </c>
      <c r="B17" s="6">
        <v>62</v>
      </c>
      <c r="C17" s="4">
        <v>17966</v>
      </c>
      <c r="D17" s="4">
        <v>17966</v>
      </c>
      <c r="E17" s="10">
        <v>0</v>
      </c>
      <c r="F17" s="10">
        <v>0</v>
      </c>
      <c r="G17" s="11">
        <f t="shared" ref="G17:G59" si="0">E17-F17</f>
        <v>0</v>
      </c>
      <c r="H17" s="11">
        <f t="shared" ref="H17:H59" si="1">G17/(1+$B$5)^(A17-$B$10)</f>
        <v>0</v>
      </c>
      <c r="I17" s="12">
        <f>SUM($G$17:G17)</f>
        <v>0</v>
      </c>
      <c r="J17" s="12">
        <f>SUM($H$17:H17)</f>
        <v>0</v>
      </c>
      <c r="K17" s="13">
        <v>0</v>
      </c>
    </row>
    <row r="18" spans="1:11" x14ac:dyDescent="0.25">
      <c r="A18" s="6">
        <v>2027</v>
      </c>
      <c r="B18" s="6">
        <v>63</v>
      </c>
      <c r="C18" s="4">
        <v>19224</v>
      </c>
      <c r="D18" s="4">
        <v>19161</v>
      </c>
      <c r="E18" s="10">
        <v>0</v>
      </c>
      <c r="F18" s="10">
        <v>0</v>
      </c>
      <c r="G18" s="11">
        <f t="shared" si="0"/>
        <v>0</v>
      </c>
      <c r="H18" s="11">
        <f t="shared" si="1"/>
        <v>0</v>
      </c>
      <c r="I18" s="12">
        <f>SUM($G$17:G18)</f>
        <v>0</v>
      </c>
      <c r="J18" s="12">
        <f>SUM($H$17:H18)</f>
        <v>0</v>
      </c>
    </row>
    <row r="19" spans="1:11" x14ac:dyDescent="0.25">
      <c r="A19" s="6">
        <v>2028</v>
      </c>
      <c r="B19" s="6">
        <v>64</v>
      </c>
      <c r="C19" s="4">
        <v>20569</v>
      </c>
      <c r="D19" s="4">
        <v>20435</v>
      </c>
      <c r="E19" s="10">
        <v>0</v>
      </c>
      <c r="F19" s="10">
        <v>0</v>
      </c>
      <c r="G19" s="11">
        <f t="shared" si="0"/>
        <v>0</v>
      </c>
      <c r="H19" s="11">
        <f t="shared" si="1"/>
        <v>0</v>
      </c>
      <c r="I19" s="12">
        <f>SUM($G$17:G19)</f>
        <v>0</v>
      </c>
      <c r="J19" s="12">
        <f>SUM($H$17:H19)</f>
        <v>0</v>
      </c>
      <c r="K19" s="13">
        <v>0</v>
      </c>
    </row>
    <row r="20" spans="1:11" x14ac:dyDescent="0.25">
      <c r="A20" s="6">
        <v>2029</v>
      </c>
      <c r="B20" s="6">
        <v>65</v>
      </c>
      <c r="C20" s="4">
        <v>22009</v>
      </c>
      <c r="D20" s="4">
        <v>21794</v>
      </c>
      <c r="E20" s="10">
        <v>0</v>
      </c>
      <c r="F20" s="10">
        <v>0</v>
      </c>
      <c r="G20" s="11">
        <f t="shared" si="0"/>
        <v>0</v>
      </c>
      <c r="H20" s="11">
        <f t="shared" si="1"/>
        <v>0</v>
      </c>
      <c r="I20" s="12">
        <f>SUM($G$17:G20)</f>
        <v>0</v>
      </c>
      <c r="J20" s="12">
        <f>SUM($H$17:H20)</f>
        <v>0</v>
      </c>
    </row>
    <row r="21" spans="1:11" x14ac:dyDescent="0.25">
      <c r="A21" s="6">
        <v>2030</v>
      </c>
      <c r="B21" s="6">
        <v>66</v>
      </c>
      <c r="C21" s="4">
        <v>23550</v>
      </c>
      <c r="D21" s="4">
        <v>23243</v>
      </c>
      <c r="E21" s="10">
        <v>0</v>
      </c>
      <c r="F21" s="10">
        <v>0</v>
      </c>
      <c r="G21" s="11">
        <f t="shared" si="0"/>
        <v>0</v>
      </c>
      <c r="H21" s="11">
        <f t="shared" si="1"/>
        <v>0</v>
      </c>
      <c r="I21" s="12">
        <f>SUM($G$17:G21)</f>
        <v>0</v>
      </c>
      <c r="J21" s="12">
        <f>SUM($H$17:H21)</f>
        <v>0</v>
      </c>
      <c r="K21" s="13">
        <v>0</v>
      </c>
    </row>
    <row r="22" spans="1:11" x14ac:dyDescent="0.25">
      <c r="A22" s="6">
        <v>2031</v>
      </c>
      <c r="B22" s="6">
        <v>67</v>
      </c>
      <c r="C22" s="4">
        <v>25198</v>
      </c>
      <c r="D22" s="4">
        <v>24789</v>
      </c>
      <c r="E22" s="10">
        <v>0</v>
      </c>
      <c r="F22" s="10">
        <v>0</v>
      </c>
      <c r="G22" s="11">
        <f t="shared" si="0"/>
        <v>0</v>
      </c>
      <c r="H22" s="11">
        <f t="shared" si="1"/>
        <v>0</v>
      </c>
      <c r="I22" s="12">
        <f>SUM($G$17:G22)</f>
        <v>0</v>
      </c>
      <c r="J22" s="12">
        <f>SUM($H$17:H22)</f>
        <v>0</v>
      </c>
    </row>
    <row r="23" spans="1:11" x14ac:dyDescent="0.25">
      <c r="A23" s="6">
        <v>2032</v>
      </c>
      <c r="B23" s="6">
        <v>68</v>
      </c>
      <c r="C23" s="4">
        <v>26962</v>
      </c>
      <c r="D23" s="4">
        <v>26437</v>
      </c>
      <c r="E23" s="10">
        <v>0</v>
      </c>
      <c r="F23" s="10">
        <v>0</v>
      </c>
      <c r="G23" s="11">
        <f t="shared" si="0"/>
        <v>0</v>
      </c>
      <c r="H23" s="11">
        <f t="shared" si="1"/>
        <v>0</v>
      </c>
      <c r="I23" s="12">
        <f>SUM($G$17:G23)</f>
        <v>0</v>
      </c>
      <c r="J23" s="12">
        <f>SUM($H$17:H23)</f>
        <v>0</v>
      </c>
      <c r="K23" s="13">
        <v>0</v>
      </c>
    </row>
    <row r="24" spans="1:11" x14ac:dyDescent="0.25">
      <c r="A24" s="6">
        <v>2033</v>
      </c>
      <c r="B24" s="6">
        <v>69</v>
      </c>
      <c r="C24" s="4">
        <v>28849</v>
      </c>
      <c r="D24" s="4">
        <v>28195</v>
      </c>
      <c r="E24" s="10">
        <v>0</v>
      </c>
      <c r="F24" s="10">
        <v>0</v>
      </c>
      <c r="G24" s="11">
        <f t="shared" si="0"/>
        <v>0</v>
      </c>
      <c r="H24" s="11">
        <f t="shared" si="1"/>
        <v>0</v>
      </c>
      <c r="I24" s="12">
        <f>SUM($G$17:G24)</f>
        <v>0</v>
      </c>
      <c r="J24" s="12">
        <f>SUM($H$17:H24)</f>
        <v>0</v>
      </c>
    </row>
    <row r="25" spans="1:11" x14ac:dyDescent="0.25">
      <c r="A25" s="6">
        <v>2034</v>
      </c>
      <c r="B25" s="6">
        <v>70</v>
      </c>
      <c r="C25" s="4">
        <v>30869</v>
      </c>
      <c r="D25" s="4">
        <v>30070</v>
      </c>
      <c r="E25" s="10">
        <v>0</v>
      </c>
      <c r="F25" s="10">
        <v>0</v>
      </c>
      <c r="G25" s="11">
        <f t="shared" si="0"/>
        <v>0</v>
      </c>
      <c r="H25" s="11">
        <f t="shared" si="1"/>
        <v>0</v>
      </c>
      <c r="I25" s="12">
        <f>SUM($G$17:G25)</f>
        <v>0</v>
      </c>
      <c r="J25" s="12">
        <f>SUM($H$17:H25)</f>
        <v>0</v>
      </c>
      <c r="K25" s="13">
        <v>0</v>
      </c>
    </row>
    <row r="26" spans="1:11" x14ac:dyDescent="0.25">
      <c r="A26" s="6">
        <v>2035</v>
      </c>
      <c r="B26" s="6">
        <v>71</v>
      </c>
      <c r="C26" s="4">
        <v>33030</v>
      </c>
      <c r="D26" s="4">
        <v>32070</v>
      </c>
      <c r="E26" s="10">
        <v>0</v>
      </c>
      <c r="F26" s="10">
        <v>0</v>
      </c>
      <c r="G26" s="11">
        <f t="shared" si="0"/>
        <v>0</v>
      </c>
      <c r="H26" s="11">
        <f t="shared" si="1"/>
        <v>0</v>
      </c>
      <c r="I26" s="12">
        <f>SUM($G$17:G26)</f>
        <v>0</v>
      </c>
      <c r="J26" s="12">
        <f>SUM($H$17:H26)</f>
        <v>0</v>
      </c>
    </row>
    <row r="27" spans="1:11" x14ac:dyDescent="0.25">
      <c r="A27" s="6">
        <v>2036</v>
      </c>
      <c r="B27" s="6">
        <v>72</v>
      </c>
      <c r="C27" s="4">
        <v>35342</v>
      </c>
      <c r="D27" s="4">
        <v>34203</v>
      </c>
      <c r="E27" s="10">
        <v>0</v>
      </c>
      <c r="F27" s="10">
        <v>0</v>
      </c>
      <c r="G27" s="11">
        <f t="shared" si="0"/>
        <v>0</v>
      </c>
      <c r="H27" s="11">
        <f t="shared" si="1"/>
        <v>0</v>
      </c>
      <c r="I27" s="12">
        <f>SUM($G$17:G27)</f>
        <v>0</v>
      </c>
      <c r="J27" s="12">
        <f>SUM($H$17:H27)</f>
        <v>0</v>
      </c>
      <c r="K27" s="13">
        <v>0</v>
      </c>
    </row>
    <row r="28" spans="1:11" x14ac:dyDescent="0.25">
      <c r="A28" s="6">
        <v>2037</v>
      </c>
      <c r="B28" s="6">
        <v>73</v>
      </c>
      <c r="C28" s="4">
        <v>37816</v>
      </c>
      <c r="D28" s="4">
        <v>36477</v>
      </c>
      <c r="E28" s="10">
        <v>0</v>
      </c>
      <c r="F28" s="10">
        <v>0</v>
      </c>
      <c r="G28" s="11">
        <f t="shared" si="0"/>
        <v>0</v>
      </c>
      <c r="H28" s="11">
        <f t="shared" si="1"/>
        <v>0</v>
      </c>
      <c r="I28" s="12">
        <f>SUM($G$17:G28)</f>
        <v>0</v>
      </c>
      <c r="J28" s="12">
        <f>SUM($H$17:H28)</f>
        <v>0</v>
      </c>
    </row>
    <row r="29" spans="1:11" x14ac:dyDescent="0.25">
      <c r="A29" s="6">
        <v>2038</v>
      </c>
      <c r="B29" s="6">
        <v>74</v>
      </c>
      <c r="C29" s="4">
        <v>40463</v>
      </c>
      <c r="D29" s="4">
        <v>38903</v>
      </c>
      <c r="E29" s="10">
        <v>0</v>
      </c>
      <c r="F29" s="10">
        <v>0</v>
      </c>
      <c r="G29" s="11">
        <f t="shared" si="0"/>
        <v>0</v>
      </c>
      <c r="H29" s="11">
        <f t="shared" si="1"/>
        <v>0</v>
      </c>
      <c r="I29" s="12">
        <f>SUM($G$17:G29)</f>
        <v>0</v>
      </c>
      <c r="J29" s="12">
        <f>SUM($H$17:H29)</f>
        <v>0</v>
      </c>
      <c r="K29" s="13">
        <v>0</v>
      </c>
    </row>
    <row r="30" spans="1:11" x14ac:dyDescent="0.25">
      <c r="A30" s="6">
        <v>2039</v>
      </c>
      <c r="B30" s="6">
        <v>75</v>
      </c>
      <c r="C30" s="4">
        <v>41650</v>
      </c>
      <c r="D30" s="4">
        <v>39908</v>
      </c>
      <c r="E30" s="10">
        <v>1644.83</v>
      </c>
      <c r="F30" s="10">
        <v>1581.42</v>
      </c>
      <c r="G30" s="11">
        <f t="shared" si="0"/>
        <v>63.409999999999854</v>
      </c>
      <c r="H30" s="11">
        <f t="shared" si="1"/>
        <v>26.312895640612108</v>
      </c>
      <c r="I30" s="12">
        <f>SUM($G$17:G30)</f>
        <v>63.409999999999854</v>
      </c>
      <c r="J30" s="12">
        <f>SUM($H$17:H30)</f>
        <v>26.312895640612108</v>
      </c>
    </row>
    <row r="31" spans="1:11" x14ac:dyDescent="0.25">
      <c r="A31" s="6">
        <v>2040</v>
      </c>
      <c r="B31" s="6">
        <v>76</v>
      </c>
      <c r="C31" s="4">
        <v>42809</v>
      </c>
      <c r="D31" s="4">
        <v>40879</v>
      </c>
      <c r="E31" s="10">
        <v>1757.4</v>
      </c>
      <c r="F31" s="10">
        <v>1683.9</v>
      </c>
      <c r="G31" s="11">
        <f t="shared" si="0"/>
        <v>73.5</v>
      </c>
      <c r="H31" s="11">
        <f t="shared" si="1"/>
        <v>28.504567214773381</v>
      </c>
      <c r="I31" s="12">
        <f>SUM($G$17:G31)</f>
        <v>136.90999999999985</v>
      </c>
      <c r="J31" s="12">
        <f>SUM($H$17:H31)</f>
        <v>54.817462855385486</v>
      </c>
      <c r="K31" s="13">
        <v>0</v>
      </c>
    </row>
    <row r="32" spans="1:11" x14ac:dyDescent="0.25">
      <c r="A32" s="6">
        <v>2041</v>
      </c>
      <c r="B32" s="6">
        <v>77</v>
      </c>
      <c r="C32" s="4">
        <v>43936</v>
      </c>
      <c r="D32" s="4">
        <v>41812</v>
      </c>
      <c r="E32" s="10">
        <v>1869.37</v>
      </c>
      <c r="F32" s="10">
        <v>1785.09</v>
      </c>
      <c r="G32" s="11">
        <f t="shared" si="0"/>
        <v>84.279999999999973</v>
      </c>
      <c r="H32" s="11">
        <f t="shared" si="1"/>
        <v>30.546950535458063</v>
      </c>
      <c r="I32" s="12">
        <f>SUM($G$17:G32)</f>
        <v>221.18999999999983</v>
      </c>
      <c r="J32" s="12">
        <f>SUM($H$17:H32)</f>
        <v>85.364413390843552</v>
      </c>
    </row>
    <row r="33" spans="1:11" x14ac:dyDescent="0.25">
      <c r="A33" s="6">
        <v>2042</v>
      </c>
      <c r="B33" s="6">
        <v>78</v>
      </c>
      <c r="C33" s="4">
        <v>45014</v>
      </c>
      <c r="D33" s="4">
        <v>42692</v>
      </c>
      <c r="E33" s="10">
        <v>1997.08</v>
      </c>
      <c r="F33" s="10">
        <v>1900.54</v>
      </c>
      <c r="G33" s="11">
        <f t="shared" si="0"/>
        <v>96.539999999999964</v>
      </c>
      <c r="H33" s="11">
        <f t="shared" si="1"/>
        <v>32.701438071283548</v>
      </c>
      <c r="I33" s="12">
        <f>SUM($G$17:G33)</f>
        <v>317.72999999999979</v>
      </c>
      <c r="J33" s="12">
        <f>SUM($H$17:H33)</f>
        <v>118.0658514621271</v>
      </c>
      <c r="K33" s="13">
        <v>0</v>
      </c>
    </row>
    <row r="34" spans="1:11" x14ac:dyDescent="0.25">
      <c r="A34" s="6">
        <v>2043</v>
      </c>
      <c r="B34" s="6">
        <v>79</v>
      </c>
      <c r="C34" s="4">
        <v>46032</v>
      </c>
      <c r="D34" s="4">
        <v>43507</v>
      </c>
      <c r="E34" s="10">
        <v>2133.38</v>
      </c>
      <c r="F34" s="10">
        <v>2023.31</v>
      </c>
      <c r="G34" s="11">
        <f t="shared" si="0"/>
        <v>110.07000000000016</v>
      </c>
      <c r="H34" s="11">
        <f t="shared" si="1"/>
        <v>34.845343158384658</v>
      </c>
      <c r="I34" s="12">
        <f>SUM($G$17:G34)</f>
        <v>427.79999999999995</v>
      </c>
      <c r="J34" s="12">
        <f>SUM($H$17:H34)</f>
        <v>152.91119462051176</v>
      </c>
    </row>
    <row r="35" spans="1:11" x14ac:dyDescent="0.25">
      <c r="A35" s="6">
        <v>2044</v>
      </c>
      <c r="B35" s="6">
        <v>80</v>
      </c>
      <c r="C35" s="4">
        <v>46975</v>
      </c>
      <c r="D35" s="4">
        <v>44247</v>
      </c>
      <c r="E35" s="10">
        <v>2278.8000000000002</v>
      </c>
      <c r="F35" s="10">
        <v>2153.84</v>
      </c>
      <c r="G35" s="11">
        <f t="shared" si="0"/>
        <v>124.96000000000004</v>
      </c>
      <c r="H35" s="11">
        <f t="shared" si="1"/>
        <v>36.971154983546931</v>
      </c>
      <c r="I35" s="12">
        <f>SUM($G$17:G35)</f>
        <v>552.76</v>
      </c>
      <c r="J35" s="12">
        <f>SUM($H$17:H35)</f>
        <v>189.8823496040587</v>
      </c>
      <c r="K35" s="13">
        <v>0</v>
      </c>
    </row>
    <row r="36" spans="1:11" x14ac:dyDescent="0.25">
      <c r="A36" s="6">
        <v>2045</v>
      </c>
      <c r="B36" s="6">
        <v>81</v>
      </c>
      <c r="C36" s="4">
        <v>47842</v>
      </c>
      <c r="D36" s="4">
        <v>44909</v>
      </c>
      <c r="E36" s="10">
        <v>2421.41</v>
      </c>
      <c r="F36" s="10">
        <v>2280.77</v>
      </c>
      <c r="G36" s="11">
        <f t="shared" si="0"/>
        <v>140.63999999999987</v>
      </c>
      <c r="H36" s="11">
        <f t="shared" si="1"/>
        <v>38.888131954644429</v>
      </c>
      <c r="I36" s="12">
        <f>SUM($G$17:G36)</f>
        <v>693.39999999999986</v>
      </c>
      <c r="J36" s="12">
        <f>SUM($H$17:H36)</f>
        <v>228.77048155870312</v>
      </c>
    </row>
    <row r="37" spans="1:11" x14ac:dyDescent="0.25">
      <c r="A37" s="6">
        <v>2046</v>
      </c>
      <c r="B37" s="6">
        <v>82</v>
      </c>
      <c r="C37" s="4">
        <v>48605</v>
      </c>
      <c r="D37" s="4">
        <v>45467</v>
      </c>
      <c r="E37" s="10">
        <v>2586.06</v>
      </c>
      <c r="F37" s="10">
        <v>2427.4899999999998</v>
      </c>
      <c r="G37" s="11">
        <f t="shared" si="0"/>
        <v>158.57000000000016</v>
      </c>
      <c r="H37" s="11">
        <f t="shared" si="1"/>
        <v>40.977501276195198</v>
      </c>
      <c r="I37" s="12">
        <f>SUM($G$17:G37)</f>
        <v>851.97</v>
      </c>
      <c r="J37" s="12">
        <f>SUM($H$17:H37)</f>
        <v>269.74798283489832</v>
      </c>
      <c r="K37" s="13">
        <v>0</v>
      </c>
    </row>
    <row r="38" spans="1:11" x14ac:dyDescent="0.25">
      <c r="A38" s="6">
        <v>2047</v>
      </c>
      <c r="B38" s="6">
        <v>83</v>
      </c>
      <c r="C38" s="4">
        <v>49261</v>
      </c>
      <c r="D38" s="4">
        <v>45922</v>
      </c>
      <c r="E38" s="10">
        <v>2746.05</v>
      </c>
      <c r="F38" s="10">
        <v>2568.7800000000002</v>
      </c>
      <c r="G38" s="11">
        <f t="shared" si="0"/>
        <v>177.26999999999998</v>
      </c>
      <c r="H38" s="11">
        <f t="shared" si="1"/>
        <v>42.813024886742518</v>
      </c>
      <c r="I38" s="12">
        <f>SUM($G$17:G38)</f>
        <v>1029.24</v>
      </c>
      <c r="J38" s="12">
        <f>SUM($H$17:H38)</f>
        <v>312.56100772164086</v>
      </c>
    </row>
    <row r="39" spans="1:11" x14ac:dyDescent="0.25">
      <c r="A39" s="6">
        <v>2048</v>
      </c>
      <c r="B39" s="6">
        <v>84</v>
      </c>
      <c r="C39" s="4">
        <v>49777</v>
      </c>
      <c r="D39" s="4">
        <v>46243</v>
      </c>
      <c r="E39" s="10">
        <v>2932.22</v>
      </c>
      <c r="F39" s="10">
        <v>2733.47</v>
      </c>
      <c r="G39" s="11">
        <f t="shared" si="0"/>
        <v>198.75</v>
      </c>
      <c r="H39" s="11">
        <f t="shared" si="1"/>
        <v>44.86049157940117</v>
      </c>
      <c r="I39" s="12">
        <f>SUM($G$17:G39)</f>
        <v>1227.99</v>
      </c>
      <c r="J39" s="12">
        <f>SUM($H$17:H39)</f>
        <v>357.42149930104205</v>
      </c>
      <c r="K39" s="13">
        <v>0</v>
      </c>
    </row>
    <row r="40" spans="1:11" x14ac:dyDescent="0.25">
      <c r="A40" s="6">
        <v>2049</v>
      </c>
      <c r="B40" s="6">
        <v>85</v>
      </c>
      <c r="C40" s="4">
        <v>50151</v>
      </c>
      <c r="D40" s="4">
        <v>46428</v>
      </c>
      <c r="E40" s="10">
        <v>3111.09</v>
      </c>
      <c r="F40" s="10">
        <v>2890.17</v>
      </c>
      <c r="G40" s="11">
        <f t="shared" si="0"/>
        <v>220.92000000000007</v>
      </c>
      <c r="H40" s="11">
        <f t="shared" si="1"/>
        <v>46.602385468624277</v>
      </c>
      <c r="I40" s="12">
        <f>SUM($G$17:G40)</f>
        <v>1448.91</v>
      </c>
      <c r="J40" s="12">
        <f>SUM($H$17:H40)</f>
        <v>404.02388476966632</v>
      </c>
    </row>
    <row r="41" spans="1:11" x14ac:dyDescent="0.25">
      <c r="A41" s="6">
        <v>2050</v>
      </c>
      <c r="B41" s="6">
        <v>86</v>
      </c>
      <c r="C41" s="4">
        <v>50362</v>
      </c>
      <c r="D41" s="4">
        <v>46461</v>
      </c>
      <c r="E41" s="10">
        <v>3299.39</v>
      </c>
      <c r="F41" s="10">
        <v>3054.45</v>
      </c>
      <c r="G41" s="11">
        <f t="shared" si="0"/>
        <v>244.94000000000005</v>
      </c>
      <c r="H41" s="11">
        <f t="shared" si="1"/>
        <v>48.289093090258191</v>
      </c>
      <c r="I41" s="12">
        <f>SUM($G$17:G41)</f>
        <v>1693.8500000000001</v>
      </c>
      <c r="J41" s="12">
        <f>SUM($H$17:H41)</f>
        <v>452.3129778599245</v>
      </c>
      <c r="K41" s="13">
        <v>0</v>
      </c>
    </row>
    <row r="42" spans="1:11" x14ac:dyDescent="0.25">
      <c r="A42" s="6">
        <v>2051</v>
      </c>
      <c r="B42" s="6">
        <v>87</v>
      </c>
      <c r="C42" s="4">
        <v>50390</v>
      </c>
      <c r="D42" s="4">
        <v>46324</v>
      </c>
      <c r="E42" s="10">
        <v>3497.35</v>
      </c>
      <c r="F42" s="10">
        <v>3226.43</v>
      </c>
      <c r="G42" s="11">
        <f t="shared" si="0"/>
        <v>270.92000000000007</v>
      </c>
      <c r="H42" s="11">
        <f t="shared" si="1"/>
        <v>49.916787174325158</v>
      </c>
      <c r="I42" s="12">
        <f>SUM($G$17:G42)</f>
        <v>1964.7700000000002</v>
      </c>
      <c r="J42" s="12">
        <f>SUM($H$17:H42)</f>
        <v>502.22976503424968</v>
      </c>
    </row>
    <row r="43" spans="1:11" x14ac:dyDescent="0.25">
      <c r="A43" s="6">
        <v>2052</v>
      </c>
      <c r="B43" s="6">
        <v>88</v>
      </c>
      <c r="C43" s="4">
        <v>50239</v>
      </c>
      <c r="D43" s="4">
        <v>46023</v>
      </c>
      <c r="E43" s="10">
        <v>3678.09</v>
      </c>
      <c r="F43" s="10">
        <v>3381.3</v>
      </c>
      <c r="G43" s="11">
        <f t="shared" si="0"/>
        <v>296.78999999999996</v>
      </c>
      <c r="H43" s="11">
        <f t="shared" si="1"/>
        <v>51.105900370864937</v>
      </c>
      <c r="I43" s="12">
        <f>SUM($G$17:G43)</f>
        <v>2261.5600000000004</v>
      </c>
      <c r="J43" s="12">
        <f>SUM($H$17:H43)</f>
        <v>553.33566540511458</v>
      </c>
      <c r="K43" s="13">
        <v>0</v>
      </c>
    </row>
    <row r="44" spans="1:11" x14ac:dyDescent="0.25">
      <c r="A44" s="6">
        <v>2053</v>
      </c>
      <c r="B44" s="6">
        <v>89</v>
      </c>
      <c r="C44" s="4">
        <v>49861</v>
      </c>
      <c r="D44" s="4">
        <v>45516</v>
      </c>
      <c r="E44" s="10">
        <v>3894.5</v>
      </c>
      <c r="F44" s="10">
        <v>3567.68</v>
      </c>
      <c r="G44" s="11">
        <f t="shared" si="0"/>
        <v>326.82000000000016</v>
      </c>
      <c r="H44" s="11">
        <f t="shared" si="1"/>
        <v>52.595262641120065</v>
      </c>
      <c r="I44" s="12">
        <f>SUM($G$17:G44)</f>
        <v>2588.3800000000006</v>
      </c>
      <c r="J44" s="12">
        <f>SUM($H$17:H44)</f>
        <v>605.93092804623461</v>
      </c>
    </row>
    <row r="45" spans="1:11" x14ac:dyDescent="0.25">
      <c r="A45" s="6">
        <v>2054</v>
      </c>
      <c r="B45" s="6">
        <v>90</v>
      </c>
      <c r="C45" s="4">
        <v>49265</v>
      </c>
      <c r="D45" s="4">
        <v>44812</v>
      </c>
      <c r="E45" s="10">
        <v>4086.99</v>
      </c>
      <c r="F45" s="10">
        <v>3730.81</v>
      </c>
      <c r="G45" s="11">
        <f t="shared" si="0"/>
        <v>356.17999999999984</v>
      </c>
      <c r="H45" s="11">
        <f t="shared" si="1"/>
        <v>53.570260023420623</v>
      </c>
      <c r="I45" s="12">
        <f>SUM($G$17:G45)</f>
        <v>2944.5600000000004</v>
      </c>
      <c r="J45" s="12">
        <f>SUM($H$17:H45)</f>
        <v>659.5011880696552</v>
      </c>
      <c r="K45" s="13">
        <v>0</v>
      </c>
    </row>
    <row r="46" spans="1:11" x14ac:dyDescent="0.25">
      <c r="A46" s="6">
        <v>2055</v>
      </c>
      <c r="B46" s="6">
        <v>91</v>
      </c>
      <c r="C46" s="4">
        <v>48429</v>
      </c>
      <c r="D46" s="4">
        <v>43895</v>
      </c>
      <c r="E46" s="10">
        <v>4283.88</v>
      </c>
      <c r="F46" s="10">
        <v>3896.69</v>
      </c>
      <c r="G46" s="11">
        <f t="shared" si="0"/>
        <v>387.19000000000005</v>
      </c>
      <c r="H46" s="11">
        <f t="shared" si="1"/>
        <v>54.42451647746163</v>
      </c>
      <c r="I46" s="12">
        <f>SUM($G$17:G46)</f>
        <v>3331.7500000000005</v>
      </c>
      <c r="J46" s="12">
        <f>SUM($H$17:H46)</f>
        <v>713.92570454711688</v>
      </c>
    </row>
    <row r="47" spans="1:11" x14ac:dyDescent="0.25">
      <c r="A47" s="6">
        <v>2056</v>
      </c>
      <c r="B47" s="6">
        <v>92</v>
      </c>
      <c r="C47" s="4">
        <v>47335</v>
      </c>
      <c r="D47" s="4">
        <v>42750</v>
      </c>
      <c r="E47" s="10">
        <v>4484.1899999999996</v>
      </c>
      <c r="F47" s="10">
        <v>4064.37</v>
      </c>
      <c r="G47" s="11">
        <f t="shared" si="0"/>
        <v>419.81999999999971</v>
      </c>
      <c r="H47" s="11">
        <f t="shared" si="1"/>
        <v>55.150543123839853</v>
      </c>
      <c r="I47" s="12">
        <f>SUM($G$17:G47)</f>
        <v>3751.57</v>
      </c>
      <c r="J47" s="12">
        <f>SUM($H$17:H47)</f>
        <v>769.07624767095672</v>
      </c>
      <c r="K47" s="13">
        <v>0</v>
      </c>
    </row>
    <row r="48" spans="1:11" x14ac:dyDescent="0.25">
      <c r="A48" s="6">
        <v>2057</v>
      </c>
      <c r="B48" s="6">
        <v>93</v>
      </c>
      <c r="C48" s="4">
        <v>45962</v>
      </c>
      <c r="D48" s="4">
        <v>41360</v>
      </c>
      <c r="E48" s="10">
        <v>4686.6400000000003</v>
      </c>
      <c r="F48" s="10">
        <v>4232.66</v>
      </c>
      <c r="G48" s="11">
        <f t="shared" si="0"/>
        <v>453.98000000000047</v>
      </c>
      <c r="H48" s="11">
        <f t="shared" si="1"/>
        <v>55.736489575552085</v>
      </c>
      <c r="I48" s="12">
        <f>SUM($G$17:G48)</f>
        <v>4205.5500000000011</v>
      </c>
      <c r="J48" s="12">
        <f>SUM($H$17:H48)</f>
        <v>824.81273724650885</v>
      </c>
    </row>
    <row r="49" spans="1:11" x14ac:dyDescent="0.25">
      <c r="A49" s="6">
        <v>2058</v>
      </c>
      <c r="B49" s="6">
        <v>94</v>
      </c>
      <c r="C49" s="4">
        <v>44341</v>
      </c>
      <c r="D49" s="4">
        <v>39757</v>
      </c>
      <c r="E49" s="10">
        <v>4838.1000000000004</v>
      </c>
      <c r="F49" s="10">
        <v>4353.6899999999996</v>
      </c>
      <c r="G49" s="11">
        <f t="shared" si="0"/>
        <v>484.41000000000076</v>
      </c>
      <c r="H49" s="11">
        <f t="shared" si="1"/>
        <v>55.581749690675991</v>
      </c>
      <c r="I49" s="12">
        <f>SUM($G$17:G49)</f>
        <v>4689.9600000000019</v>
      </c>
      <c r="J49" s="12">
        <f>SUM($H$17:H49)</f>
        <v>880.39448693718487</v>
      </c>
      <c r="K49" s="13">
        <v>0</v>
      </c>
    </row>
    <row r="50" spans="1:11" x14ac:dyDescent="0.25">
      <c r="A50" s="6">
        <v>2059</v>
      </c>
      <c r="B50" s="6"/>
      <c r="C50" s="4">
        <v>41132</v>
      </c>
      <c r="D50" s="4">
        <v>36831</v>
      </c>
      <c r="E50" s="10">
        <v>6313.18</v>
      </c>
      <c r="F50" s="10">
        <v>5569.24</v>
      </c>
      <c r="G50" s="11">
        <f t="shared" si="0"/>
        <v>743.94000000000051</v>
      </c>
      <c r="H50" s="11">
        <f t="shared" si="1"/>
        <v>79.776181845033676</v>
      </c>
      <c r="I50" s="12">
        <f>SUM($G$17:G50)</f>
        <v>5433.9000000000024</v>
      </c>
      <c r="J50" s="12">
        <f>SUM($H$17:H50)</f>
        <v>960.17066878221851</v>
      </c>
    </row>
    <row r="51" spans="1:11" x14ac:dyDescent="0.25">
      <c r="A51" s="6">
        <v>2060</v>
      </c>
      <c r="B51" s="6"/>
      <c r="C51" s="4">
        <v>37698</v>
      </c>
      <c r="D51" s="4">
        <v>33711</v>
      </c>
      <c r="E51" s="10">
        <v>6313.18</v>
      </c>
      <c r="F51" s="10">
        <v>5569.24</v>
      </c>
      <c r="G51" s="11">
        <f t="shared" si="0"/>
        <v>743.94000000000051</v>
      </c>
      <c r="H51" s="11">
        <f t="shared" si="1"/>
        <v>74.557179294424003</v>
      </c>
      <c r="I51" s="12">
        <f>SUM($G$17:G51)</f>
        <v>6177.8400000000029</v>
      </c>
      <c r="J51" s="12">
        <f>SUM($H$17:H51)</f>
        <v>1034.7278480766424</v>
      </c>
      <c r="K51" s="13">
        <v>0</v>
      </c>
    </row>
    <row r="52" spans="1:11" x14ac:dyDescent="0.25">
      <c r="A52" s="6">
        <v>2061</v>
      </c>
      <c r="B52" s="6"/>
      <c r="C52" s="4">
        <v>34024</v>
      </c>
      <c r="D52" s="4">
        <v>30384</v>
      </c>
      <c r="E52" s="10">
        <v>6313.18</v>
      </c>
      <c r="F52" s="10">
        <v>5569.24</v>
      </c>
      <c r="G52" s="11">
        <f t="shared" si="0"/>
        <v>743.94000000000051</v>
      </c>
      <c r="H52" s="11">
        <f t="shared" si="1"/>
        <v>69.679606817218698</v>
      </c>
      <c r="I52" s="12">
        <f>SUM($G$17:G52)</f>
        <v>6921.7800000000034</v>
      </c>
      <c r="J52" s="12">
        <f>SUM($H$17:H52)</f>
        <v>1104.4074548938611</v>
      </c>
    </row>
    <row r="53" spans="1:11" x14ac:dyDescent="0.25">
      <c r="A53" s="6">
        <v>2062</v>
      </c>
      <c r="B53" s="6"/>
      <c r="C53" s="4">
        <v>30092</v>
      </c>
      <c r="D53" s="4">
        <v>26835</v>
      </c>
      <c r="E53" s="10">
        <v>6313.18</v>
      </c>
      <c r="F53" s="10">
        <v>5569.24</v>
      </c>
      <c r="G53" s="11">
        <f t="shared" si="0"/>
        <v>743.94000000000051</v>
      </c>
      <c r="H53" s="11">
        <f t="shared" si="1"/>
        <v>65.121127866559533</v>
      </c>
      <c r="I53" s="12">
        <f>SUM($G$17:G53)</f>
        <v>7665.7200000000039</v>
      </c>
      <c r="J53" s="12">
        <f>SUM($H$17:H53)</f>
        <v>1169.5285827604207</v>
      </c>
      <c r="K53" s="13">
        <v>0</v>
      </c>
    </row>
    <row r="54" spans="1:11" x14ac:dyDescent="0.25">
      <c r="A54" s="6">
        <v>2063</v>
      </c>
      <c r="B54" s="6"/>
      <c r="C54" s="4">
        <v>25885</v>
      </c>
      <c r="D54" s="4">
        <v>23051</v>
      </c>
      <c r="E54" s="10">
        <v>6313.18</v>
      </c>
      <c r="F54" s="10">
        <v>5569.24</v>
      </c>
      <c r="G54" s="11">
        <f t="shared" si="0"/>
        <v>743.94000000000051</v>
      </c>
      <c r="H54" s="11">
        <f t="shared" si="1"/>
        <v>60.860867165008898</v>
      </c>
      <c r="I54" s="12">
        <f>SUM($G$17:G54)</f>
        <v>8409.6600000000035</v>
      </c>
      <c r="J54" s="12">
        <f>SUM($H$17:H54)</f>
        <v>1230.3894499254295</v>
      </c>
    </row>
    <row r="55" spans="1:11" x14ac:dyDescent="0.25">
      <c r="A55" s="6">
        <v>2064</v>
      </c>
      <c r="B55" s="6"/>
      <c r="C55" s="4">
        <v>21384</v>
      </c>
      <c r="D55" s="4">
        <v>19014</v>
      </c>
      <c r="E55" s="10">
        <v>6313.18</v>
      </c>
      <c r="F55" s="10">
        <v>5569.24</v>
      </c>
      <c r="G55" s="11">
        <f t="shared" si="0"/>
        <v>743.94000000000051</v>
      </c>
      <c r="H55" s="11">
        <f t="shared" si="1"/>
        <v>56.879315107484956</v>
      </c>
      <c r="I55" s="12">
        <f>SUM($G$17:G55)</f>
        <v>9153.600000000004</v>
      </c>
      <c r="J55" s="12">
        <f>SUM($H$17:H55)</f>
        <v>1287.2687650329144</v>
      </c>
      <c r="K55" s="13">
        <v>0</v>
      </c>
    </row>
    <row r="56" spans="1:11" x14ac:dyDescent="0.25">
      <c r="A56" s="6">
        <v>2065</v>
      </c>
      <c r="B56" s="6"/>
      <c r="C56" s="4">
        <v>16568</v>
      </c>
      <c r="D56" s="4">
        <v>14709</v>
      </c>
      <c r="E56" s="10">
        <v>6313.18</v>
      </c>
      <c r="F56" s="10">
        <v>5569.24</v>
      </c>
      <c r="G56" s="11">
        <f t="shared" si="0"/>
        <v>743.94000000000051</v>
      </c>
      <c r="H56" s="11">
        <f t="shared" si="1"/>
        <v>53.158238418210239</v>
      </c>
      <c r="I56" s="12">
        <f>SUM($G$17:G56)</f>
        <v>9897.5400000000045</v>
      </c>
      <c r="J56" s="12">
        <f>SUM($H$17:H56)</f>
        <v>1340.4270034511246</v>
      </c>
    </row>
    <row r="57" spans="1:11" x14ac:dyDescent="0.25">
      <c r="A57" s="6">
        <v>2066</v>
      </c>
      <c r="B57" s="6"/>
      <c r="C57" s="4">
        <v>11414</v>
      </c>
      <c r="D57" s="4">
        <v>10118</v>
      </c>
      <c r="E57" s="10">
        <v>6313.18</v>
      </c>
      <c r="F57" s="10">
        <v>5569.24</v>
      </c>
      <c r="G57" s="11">
        <f t="shared" si="0"/>
        <v>743.94000000000051</v>
      </c>
      <c r="H57" s="11">
        <f t="shared" si="1"/>
        <v>49.680596652532934</v>
      </c>
      <c r="I57" s="12">
        <f>SUM($G$17:G57)</f>
        <v>10641.480000000005</v>
      </c>
      <c r="J57" s="12">
        <f>SUM($H$17:H57)</f>
        <v>1390.1076001036577</v>
      </c>
      <c r="K57" s="13">
        <v>0</v>
      </c>
    </row>
    <row r="58" spans="1:11" x14ac:dyDescent="0.25">
      <c r="A58" s="6">
        <v>2067</v>
      </c>
      <c r="B58" s="6"/>
      <c r="C58" s="4">
        <v>5900</v>
      </c>
      <c r="D58" s="4">
        <v>5222</v>
      </c>
      <c r="E58" s="10">
        <v>6313.18</v>
      </c>
      <c r="F58" s="10">
        <v>5569.24</v>
      </c>
      <c r="G58" s="11">
        <f t="shared" si="0"/>
        <v>743.94000000000051</v>
      </c>
      <c r="H58" s="11">
        <f t="shared" si="1"/>
        <v>46.43046416124573</v>
      </c>
      <c r="I58" s="12">
        <f>SUM($G$17:G58)</f>
        <v>11385.420000000006</v>
      </c>
      <c r="J58" s="12">
        <f>SUM($H$17:H58)</f>
        <v>1436.5380642649034</v>
      </c>
    </row>
    <row r="59" spans="1:11" x14ac:dyDescent="0.25">
      <c r="A59" s="6">
        <v>2068</v>
      </c>
      <c r="B59" s="6"/>
      <c r="C59" s="4">
        <v>0</v>
      </c>
      <c r="D59" s="4">
        <v>0</v>
      </c>
      <c r="E59" s="10">
        <v>6313.18</v>
      </c>
      <c r="F59" s="10">
        <v>5569.24</v>
      </c>
      <c r="G59" s="11">
        <f t="shared" si="0"/>
        <v>743.94000000000051</v>
      </c>
      <c r="H59" s="11">
        <f t="shared" si="1"/>
        <v>43.392957160042741</v>
      </c>
      <c r="I59" s="12">
        <f>SUM($G$17:G59)</f>
        <v>12129.360000000006</v>
      </c>
      <c r="J59" s="12">
        <f>SUM($H$17:H59)</f>
        <v>1479.931021424946</v>
      </c>
      <c r="K59" s="13">
        <v>0</v>
      </c>
    </row>
    <row r="61" spans="1:11" x14ac:dyDescent="0.25">
      <c r="A61" s="14" t="s">
        <v>28</v>
      </c>
      <c r="G61" s="15">
        <f>SUM(G17:G59)</f>
        <v>12129.360000000006</v>
      </c>
      <c r="H61" s="15">
        <f>SUM(H17:H59)</f>
        <v>1479.931021424946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workbookViewId="0"/>
  </sheetViews>
  <sheetFormatPr defaultRowHeight="15" x14ac:dyDescent="0.25"/>
  <cols>
    <col min="1" max="1" width="24" customWidth="1"/>
    <col min="2" max="11" width="14" customWidth="1"/>
  </cols>
  <sheetData>
    <row r="1" spans="1:12" ht="15.75" x14ac:dyDescent="0.25">
      <c r="A1" s="1" t="s">
        <v>29</v>
      </c>
    </row>
    <row r="2" spans="1:12" x14ac:dyDescent="0.25">
      <c r="A2" s="2" t="s">
        <v>30</v>
      </c>
    </row>
    <row r="4" spans="1:12" x14ac:dyDescent="0.25">
      <c r="A4" s="3" t="s">
        <v>31</v>
      </c>
      <c r="B4" s="4">
        <v>121800</v>
      </c>
      <c r="C4" s="2" t="s">
        <v>32</v>
      </c>
    </row>
    <row r="5" spans="1:12" x14ac:dyDescent="0.25">
      <c r="A5" s="3" t="s">
        <v>33</v>
      </c>
      <c r="B5" s="16">
        <v>0.20887685</v>
      </c>
      <c r="C5" s="2" t="s">
        <v>34</v>
      </c>
    </row>
    <row r="6" spans="1:12" x14ac:dyDescent="0.25">
      <c r="A6" s="3" t="s">
        <v>35</v>
      </c>
      <c r="B6" s="12">
        <f>B4*(1-B5)</f>
        <v>96358.799669999993</v>
      </c>
    </row>
    <row r="7" spans="1:12" x14ac:dyDescent="0.25">
      <c r="A7" s="3" t="s">
        <v>4</v>
      </c>
      <c r="B7" s="5">
        <v>7.0000000000000007E-2</v>
      </c>
      <c r="C7" s="2" t="s">
        <v>5</v>
      </c>
    </row>
    <row r="8" spans="1:12" x14ac:dyDescent="0.25">
      <c r="A8" s="3" t="s">
        <v>6</v>
      </c>
      <c r="B8" s="5">
        <v>0.05</v>
      </c>
      <c r="C8" s="2" t="s">
        <v>7</v>
      </c>
    </row>
    <row r="9" spans="1:12" x14ac:dyDescent="0.25">
      <c r="A9" s="3" t="s">
        <v>36</v>
      </c>
      <c r="B9" s="17">
        <v>0.75</v>
      </c>
      <c r="C9" s="2" t="s">
        <v>37</v>
      </c>
    </row>
    <row r="10" spans="1:12" x14ac:dyDescent="0.25">
      <c r="A10" s="3" t="s">
        <v>8</v>
      </c>
      <c r="B10" s="6">
        <v>94</v>
      </c>
      <c r="C10" s="2" t="s">
        <v>9</v>
      </c>
    </row>
    <row r="11" spans="1:12" x14ac:dyDescent="0.25">
      <c r="A11" s="3" t="s">
        <v>10</v>
      </c>
      <c r="B11" s="6">
        <v>20</v>
      </c>
      <c r="C11" s="2" t="s">
        <v>11</v>
      </c>
    </row>
    <row r="12" spans="1:12" x14ac:dyDescent="0.25">
      <c r="A12" s="3" t="s">
        <v>12</v>
      </c>
      <c r="B12" s="7" t="s">
        <v>13</v>
      </c>
      <c r="C12" s="2" t="s">
        <v>14</v>
      </c>
    </row>
    <row r="13" spans="1:12" x14ac:dyDescent="0.25">
      <c r="A13" s="3" t="s">
        <v>15</v>
      </c>
      <c r="B13" s="6">
        <v>2026</v>
      </c>
      <c r="C13" s="2" t="s">
        <v>16</v>
      </c>
    </row>
    <row r="16" spans="1:12" ht="45" customHeight="1" x14ac:dyDescent="0.25">
      <c r="A16" s="8" t="s">
        <v>17</v>
      </c>
      <c r="B16" s="8" t="s">
        <v>18</v>
      </c>
      <c r="C16" s="8" t="s">
        <v>38</v>
      </c>
      <c r="D16" s="8" t="s">
        <v>39</v>
      </c>
      <c r="E16" s="8" t="s">
        <v>40</v>
      </c>
      <c r="F16" s="8" t="s">
        <v>21</v>
      </c>
      <c r="G16" s="8" t="s">
        <v>22</v>
      </c>
      <c r="H16" s="8" t="s">
        <v>23</v>
      </c>
      <c r="I16" s="8" t="s">
        <v>24</v>
      </c>
      <c r="J16" s="8" t="s">
        <v>25</v>
      </c>
      <c r="K16" s="8" t="s">
        <v>26</v>
      </c>
      <c r="L16" s="9" t="s">
        <v>27</v>
      </c>
    </row>
    <row r="17" spans="1:12" x14ac:dyDescent="0.25">
      <c r="A17" s="6">
        <v>2026</v>
      </c>
      <c r="B17" s="6">
        <v>62</v>
      </c>
      <c r="C17" s="4">
        <v>96359</v>
      </c>
      <c r="D17" s="4">
        <v>0</v>
      </c>
      <c r="E17" s="4">
        <v>0</v>
      </c>
      <c r="F17" s="10">
        <v>0</v>
      </c>
      <c r="G17" s="10">
        <v>0</v>
      </c>
      <c r="H17" s="11">
        <f t="shared" ref="H17:H59" si="0">F17-G17</f>
        <v>0</v>
      </c>
      <c r="I17" s="11">
        <f t="shared" ref="I17:I59" si="1">H17/(1+$B$7)^(A17-$B$13)</f>
        <v>0</v>
      </c>
      <c r="J17" s="12">
        <f>SUM($H$17:H17)</f>
        <v>0</v>
      </c>
      <c r="K17" s="12">
        <f>SUM($I$17:I17)</f>
        <v>0</v>
      </c>
      <c r="L17" s="13">
        <v>0</v>
      </c>
    </row>
    <row r="18" spans="1:12" x14ac:dyDescent="0.25">
      <c r="A18" s="6">
        <v>2027</v>
      </c>
      <c r="B18" s="6">
        <v>63</v>
      </c>
      <c r="C18" s="4">
        <v>103104</v>
      </c>
      <c r="D18" s="4">
        <v>0</v>
      </c>
      <c r="E18" s="4">
        <v>0</v>
      </c>
      <c r="F18" s="10">
        <v>0</v>
      </c>
      <c r="G18" s="10">
        <v>0</v>
      </c>
      <c r="H18" s="11">
        <f t="shared" si="0"/>
        <v>0</v>
      </c>
      <c r="I18" s="11">
        <f t="shared" si="1"/>
        <v>0</v>
      </c>
      <c r="J18" s="12">
        <f>SUM($H$17:H18)</f>
        <v>0</v>
      </c>
      <c r="K18" s="12">
        <f>SUM($I$17:I18)</f>
        <v>0</v>
      </c>
    </row>
    <row r="19" spans="1:12" x14ac:dyDescent="0.25">
      <c r="A19" s="6">
        <v>2028</v>
      </c>
      <c r="B19" s="6">
        <v>64</v>
      </c>
      <c r="C19" s="4">
        <v>110321</v>
      </c>
      <c r="D19" s="4">
        <v>0</v>
      </c>
      <c r="E19" s="4">
        <v>0</v>
      </c>
      <c r="F19" s="10">
        <v>0</v>
      </c>
      <c r="G19" s="10">
        <v>0</v>
      </c>
      <c r="H19" s="11">
        <f t="shared" si="0"/>
        <v>0</v>
      </c>
      <c r="I19" s="11">
        <f t="shared" si="1"/>
        <v>0</v>
      </c>
      <c r="J19" s="12">
        <f>SUM($H$17:H19)</f>
        <v>0</v>
      </c>
      <c r="K19" s="12">
        <f>SUM($I$17:I19)</f>
        <v>0</v>
      </c>
      <c r="L19" s="13">
        <v>0</v>
      </c>
    </row>
    <row r="20" spans="1:12" x14ac:dyDescent="0.25">
      <c r="A20" s="6">
        <v>2029</v>
      </c>
      <c r="B20" s="6">
        <v>65</v>
      </c>
      <c r="C20" s="4">
        <v>118044</v>
      </c>
      <c r="D20" s="4">
        <v>0</v>
      </c>
      <c r="E20" s="4">
        <v>0</v>
      </c>
      <c r="F20" s="10">
        <v>0</v>
      </c>
      <c r="G20" s="10">
        <v>0</v>
      </c>
      <c r="H20" s="11">
        <f t="shared" si="0"/>
        <v>0</v>
      </c>
      <c r="I20" s="11">
        <f t="shared" si="1"/>
        <v>0</v>
      </c>
      <c r="J20" s="12">
        <f>SUM($H$17:H20)</f>
        <v>0</v>
      </c>
      <c r="K20" s="12">
        <f>SUM($I$17:I20)</f>
        <v>0</v>
      </c>
    </row>
    <row r="21" spans="1:12" x14ac:dyDescent="0.25">
      <c r="A21" s="6">
        <v>2030</v>
      </c>
      <c r="B21" s="6">
        <v>66</v>
      </c>
      <c r="C21" s="4">
        <v>126307</v>
      </c>
      <c r="D21" s="4">
        <v>0</v>
      </c>
      <c r="E21" s="4">
        <v>0</v>
      </c>
      <c r="F21" s="10">
        <v>0</v>
      </c>
      <c r="G21" s="10">
        <v>0</v>
      </c>
      <c r="H21" s="11">
        <f t="shared" si="0"/>
        <v>0</v>
      </c>
      <c r="I21" s="11">
        <f t="shared" si="1"/>
        <v>0</v>
      </c>
      <c r="J21" s="12">
        <f>SUM($H$17:H21)</f>
        <v>0</v>
      </c>
      <c r="K21" s="12">
        <f>SUM($I$17:I21)</f>
        <v>0</v>
      </c>
      <c r="L21" s="13">
        <v>0</v>
      </c>
    </row>
    <row r="22" spans="1:12" x14ac:dyDescent="0.25">
      <c r="A22" s="6">
        <v>2031</v>
      </c>
      <c r="B22" s="6">
        <v>67</v>
      </c>
      <c r="C22" s="4">
        <v>135148</v>
      </c>
      <c r="D22" s="4">
        <v>0</v>
      </c>
      <c r="E22" s="4">
        <v>0</v>
      </c>
      <c r="F22" s="10">
        <v>0</v>
      </c>
      <c r="G22" s="10">
        <v>0</v>
      </c>
      <c r="H22" s="11">
        <f t="shared" si="0"/>
        <v>0</v>
      </c>
      <c r="I22" s="11">
        <f t="shared" si="1"/>
        <v>0</v>
      </c>
      <c r="J22" s="12">
        <f>SUM($H$17:H22)</f>
        <v>0</v>
      </c>
      <c r="K22" s="12">
        <f>SUM($I$17:I22)</f>
        <v>0</v>
      </c>
    </row>
    <row r="23" spans="1:12" x14ac:dyDescent="0.25">
      <c r="A23" s="6">
        <v>2032</v>
      </c>
      <c r="B23" s="6">
        <v>68</v>
      </c>
      <c r="C23" s="4">
        <v>144609</v>
      </c>
      <c r="D23" s="4">
        <v>0</v>
      </c>
      <c r="E23" s="4">
        <v>0</v>
      </c>
      <c r="F23" s="10">
        <v>0</v>
      </c>
      <c r="G23" s="10">
        <v>0</v>
      </c>
      <c r="H23" s="11">
        <f t="shared" si="0"/>
        <v>0</v>
      </c>
      <c r="I23" s="11">
        <f t="shared" si="1"/>
        <v>0</v>
      </c>
      <c r="J23" s="12">
        <f>SUM($H$17:H23)</f>
        <v>0</v>
      </c>
      <c r="K23" s="12">
        <f>SUM($I$17:I23)</f>
        <v>0</v>
      </c>
      <c r="L23" s="13">
        <v>0</v>
      </c>
    </row>
    <row r="24" spans="1:12" x14ac:dyDescent="0.25">
      <c r="A24" s="6">
        <v>2033</v>
      </c>
      <c r="B24" s="6">
        <v>69</v>
      </c>
      <c r="C24" s="4">
        <v>154731</v>
      </c>
      <c r="D24" s="4">
        <v>0</v>
      </c>
      <c r="E24" s="4">
        <v>0</v>
      </c>
      <c r="F24" s="10">
        <v>0</v>
      </c>
      <c r="G24" s="10">
        <v>0</v>
      </c>
      <c r="H24" s="11">
        <f t="shared" si="0"/>
        <v>0</v>
      </c>
      <c r="I24" s="11">
        <f t="shared" si="1"/>
        <v>0</v>
      </c>
      <c r="J24" s="12">
        <f>SUM($H$17:H24)</f>
        <v>0</v>
      </c>
      <c r="K24" s="12">
        <f>SUM($I$17:I24)</f>
        <v>0</v>
      </c>
    </row>
    <row r="25" spans="1:12" x14ac:dyDescent="0.25">
      <c r="A25" s="6">
        <v>2034</v>
      </c>
      <c r="B25" s="6">
        <v>70</v>
      </c>
      <c r="C25" s="4">
        <v>165562</v>
      </c>
      <c r="D25" s="4">
        <v>0</v>
      </c>
      <c r="E25" s="4">
        <v>0</v>
      </c>
      <c r="F25" s="10">
        <v>0</v>
      </c>
      <c r="G25" s="10">
        <v>0</v>
      </c>
      <c r="H25" s="11">
        <f t="shared" si="0"/>
        <v>0</v>
      </c>
      <c r="I25" s="11">
        <f t="shared" si="1"/>
        <v>0</v>
      </c>
      <c r="J25" s="12">
        <f>SUM($H$17:H25)</f>
        <v>0</v>
      </c>
      <c r="K25" s="12">
        <f>SUM($I$17:I25)</f>
        <v>0</v>
      </c>
      <c r="L25" s="13">
        <v>0</v>
      </c>
    </row>
    <row r="26" spans="1:12" x14ac:dyDescent="0.25">
      <c r="A26" s="6">
        <v>2035</v>
      </c>
      <c r="B26" s="6">
        <v>71</v>
      </c>
      <c r="C26" s="4">
        <v>177152</v>
      </c>
      <c r="D26" s="4">
        <v>0</v>
      </c>
      <c r="E26" s="4">
        <v>0</v>
      </c>
      <c r="F26" s="10">
        <v>0</v>
      </c>
      <c r="G26" s="10">
        <v>0</v>
      </c>
      <c r="H26" s="11">
        <f t="shared" si="0"/>
        <v>0</v>
      </c>
      <c r="I26" s="11">
        <f t="shared" si="1"/>
        <v>0</v>
      </c>
      <c r="J26" s="12">
        <f>SUM($H$17:H26)</f>
        <v>0</v>
      </c>
      <c r="K26" s="12">
        <f>SUM($I$17:I26)</f>
        <v>0</v>
      </c>
    </row>
    <row r="27" spans="1:12" x14ac:dyDescent="0.25">
      <c r="A27" s="6">
        <v>2036</v>
      </c>
      <c r="B27" s="6">
        <v>72</v>
      </c>
      <c r="C27" s="4">
        <v>189552</v>
      </c>
      <c r="D27" s="4">
        <v>0</v>
      </c>
      <c r="E27" s="4">
        <v>0</v>
      </c>
      <c r="F27" s="10">
        <v>0</v>
      </c>
      <c r="G27" s="10">
        <v>0</v>
      </c>
      <c r="H27" s="11">
        <f t="shared" si="0"/>
        <v>0</v>
      </c>
      <c r="I27" s="11">
        <f t="shared" si="1"/>
        <v>0</v>
      </c>
      <c r="J27" s="12">
        <f>SUM($H$17:H27)</f>
        <v>0</v>
      </c>
      <c r="K27" s="12">
        <f>SUM($I$17:I27)</f>
        <v>0</v>
      </c>
      <c r="L27" s="13">
        <v>0</v>
      </c>
    </row>
    <row r="28" spans="1:12" x14ac:dyDescent="0.25">
      <c r="A28" s="6">
        <v>2037</v>
      </c>
      <c r="B28" s="6">
        <v>73</v>
      </c>
      <c r="C28" s="4">
        <v>202821</v>
      </c>
      <c r="D28" s="4">
        <v>0</v>
      </c>
      <c r="E28" s="4">
        <v>0</v>
      </c>
      <c r="F28" s="10">
        <v>0</v>
      </c>
      <c r="G28" s="10">
        <v>0</v>
      </c>
      <c r="H28" s="11">
        <f t="shared" si="0"/>
        <v>0</v>
      </c>
      <c r="I28" s="11">
        <f t="shared" si="1"/>
        <v>0</v>
      </c>
      <c r="J28" s="12">
        <f>SUM($H$17:H28)</f>
        <v>0</v>
      </c>
      <c r="K28" s="12">
        <f>SUM($I$17:I28)</f>
        <v>0</v>
      </c>
    </row>
    <row r="29" spans="1:12" x14ac:dyDescent="0.25">
      <c r="A29" s="6">
        <v>2038</v>
      </c>
      <c r="B29" s="6">
        <v>74</v>
      </c>
      <c r="C29" s="4">
        <v>217018</v>
      </c>
      <c r="D29" s="4">
        <v>0</v>
      </c>
      <c r="E29" s="4">
        <v>0</v>
      </c>
      <c r="F29" s="10">
        <v>0</v>
      </c>
      <c r="G29" s="10">
        <v>0</v>
      </c>
      <c r="H29" s="11">
        <f t="shared" si="0"/>
        <v>0</v>
      </c>
      <c r="I29" s="11">
        <f t="shared" si="1"/>
        <v>0</v>
      </c>
      <c r="J29" s="12">
        <f>SUM($H$17:H29)</f>
        <v>0</v>
      </c>
      <c r="K29" s="12">
        <f>SUM($I$17:I29)</f>
        <v>0</v>
      </c>
      <c r="L29" s="13">
        <v>0</v>
      </c>
    </row>
    <row r="30" spans="1:12" x14ac:dyDescent="0.25">
      <c r="A30" s="6">
        <v>2039</v>
      </c>
      <c r="B30" s="6">
        <v>75</v>
      </c>
      <c r="C30" s="4">
        <v>223388</v>
      </c>
      <c r="D30" s="4">
        <v>6616</v>
      </c>
      <c r="E30" s="4">
        <v>6616</v>
      </c>
      <c r="F30" s="10">
        <v>0</v>
      </c>
      <c r="G30" s="10">
        <v>0</v>
      </c>
      <c r="H30" s="11">
        <f t="shared" si="0"/>
        <v>0</v>
      </c>
      <c r="I30" s="11">
        <f t="shared" si="1"/>
        <v>0</v>
      </c>
      <c r="J30" s="12">
        <f>SUM($H$17:H30)</f>
        <v>0</v>
      </c>
      <c r="K30" s="12">
        <f>SUM($I$17:I30)</f>
        <v>0</v>
      </c>
    </row>
    <row r="31" spans="1:12" x14ac:dyDescent="0.25">
      <c r="A31" s="6">
        <v>2040</v>
      </c>
      <c r="B31" s="6">
        <v>76</v>
      </c>
      <c r="C31" s="4">
        <v>229599</v>
      </c>
      <c r="D31" s="4">
        <v>14149</v>
      </c>
      <c r="E31" s="4">
        <v>14126</v>
      </c>
      <c r="F31" s="10">
        <v>0</v>
      </c>
      <c r="G31" s="10">
        <v>0</v>
      </c>
      <c r="H31" s="11">
        <f t="shared" si="0"/>
        <v>0</v>
      </c>
      <c r="I31" s="11">
        <f t="shared" si="1"/>
        <v>0</v>
      </c>
      <c r="J31" s="12">
        <f>SUM($H$17:H31)</f>
        <v>0</v>
      </c>
      <c r="K31" s="12">
        <f>SUM($I$17:I31)</f>
        <v>0</v>
      </c>
      <c r="L31" s="13">
        <v>0</v>
      </c>
    </row>
    <row r="32" spans="1:12" x14ac:dyDescent="0.25">
      <c r="A32" s="6">
        <v>2041</v>
      </c>
      <c r="B32" s="6">
        <v>77</v>
      </c>
      <c r="C32" s="4">
        <v>235645</v>
      </c>
      <c r="D32" s="4">
        <v>22659</v>
      </c>
      <c r="E32" s="4">
        <v>22585</v>
      </c>
      <c r="F32" s="10">
        <v>0</v>
      </c>
      <c r="G32" s="10">
        <v>0</v>
      </c>
      <c r="H32" s="11">
        <f t="shared" si="0"/>
        <v>0</v>
      </c>
      <c r="I32" s="11">
        <f t="shared" si="1"/>
        <v>0</v>
      </c>
      <c r="J32" s="12">
        <f>SUM($H$17:H32)</f>
        <v>0</v>
      </c>
      <c r="K32" s="12">
        <f>SUM($I$17:I32)</f>
        <v>0</v>
      </c>
    </row>
    <row r="33" spans="1:12" x14ac:dyDescent="0.25">
      <c r="A33" s="6">
        <v>2042</v>
      </c>
      <c r="B33" s="6">
        <v>78</v>
      </c>
      <c r="C33" s="4">
        <v>241429</v>
      </c>
      <c r="D33" s="4">
        <v>32278</v>
      </c>
      <c r="E33" s="4">
        <v>32120</v>
      </c>
      <c r="F33" s="10">
        <v>0</v>
      </c>
      <c r="G33" s="10">
        <v>0</v>
      </c>
      <c r="H33" s="11">
        <f t="shared" si="0"/>
        <v>0</v>
      </c>
      <c r="I33" s="11">
        <f t="shared" si="1"/>
        <v>0</v>
      </c>
      <c r="J33" s="12">
        <f>SUM($H$17:H33)</f>
        <v>0</v>
      </c>
      <c r="K33" s="12">
        <f>SUM($I$17:I33)</f>
        <v>0</v>
      </c>
      <c r="L33" s="13">
        <v>0</v>
      </c>
    </row>
    <row r="34" spans="1:12" x14ac:dyDescent="0.25">
      <c r="A34" s="6">
        <v>2043</v>
      </c>
      <c r="B34" s="6">
        <v>79</v>
      </c>
      <c r="C34" s="4">
        <v>246887</v>
      </c>
      <c r="D34" s="4">
        <v>43119</v>
      </c>
      <c r="E34" s="4">
        <v>42837</v>
      </c>
      <c r="F34" s="10">
        <v>0</v>
      </c>
      <c r="G34" s="10">
        <v>0</v>
      </c>
      <c r="H34" s="11">
        <f t="shared" si="0"/>
        <v>0</v>
      </c>
      <c r="I34" s="11">
        <f t="shared" si="1"/>
        <v>0</v>
      </c>
      <c r="J34" s="12">
        <f>SUM($H$17:H34)</f>
        <v>0</v>
      </c>
      <c r="K34" s="12">
        <f>SUM($I$17:I34)</f>
        <v>0</v>
      </c>
    </row>
    <row r="35" spans="1:12" x14ac:dyDescent="0.25">
      <c r="A35" s="6">
        <v>2044</v>
      </c>
      <c r="B35" s="6">
        <v>80</v>
      </c>
      <c r="C35" s="4">
        <v>251947</v>
      </c>
      <c r="D35" s="4">
        <v>55304</v>
      </c>
      <c r="E35" s="4">
        <v>54853</v>
      </c>
      <c r="F35" s="10">
        <v>0</v>
      </c>
      <c r="G35" s="10">
        <v>0</v>
      </c>
      <c r="H35" s="11">
        <f t="shared" si="0"/>
        <v>0</v>
      </c>
      <c r="I35" s="11">
        <f t="shared" si="1"/>
        <v>0</v>
      </c>
      <c r="J35" s="12">
        <f>SUM($H$17:H35)</f>
        <v>0</v>
      </c>
      <c r="K35" s="12">
        <f>SUM($I$17:I35)</f>
        <v>0</v>
      </c>
      <c r="L35" s="13">
        <v>0</v>
      </c>
    </row>
    <row r="36" spans="1:12" x14ac:dyDescent="0.25">
      <c r="A36" s="6">
        <v>2045</v>
      </c>
      <c r="B36" s="6">
        <v>81</v>
      </c>
      <c r="C36" s="4">
        <v>256596</v>
      </c>
      <c r="D36" s="4">
        <v>68916</v>
      </c>
      <c r="E36" s="4">
        <v>68241</v>
      </c>
      <c r="F36" s="10">
        <v>0</v>
      </c>
      <c r="G36" s="10">
        <v>0</v>
      </c>
      <c r="H36" s="11">
        <f t="shared" si="0"/>
        <v>0</v>
      </c>
      <c r="I36" s="11">
        <f t="shared" si="1"/>
        <v>0</v>
      </c>
      <c r="J36" s="12">
        <f>SUM($H$17:H36)</f>
        <v>0</v>
      </c>
      <c r="K36" s="12">
        <f>SUM($I$17:I36)</f>
        <v>0</v>
      </c>
    </row>
    <row r="37" spans="1:12" x14ac:dyDescent="0.25">
      <c r="A37" s="6">
        <v>2046</v>
      </c>
      <c r="B37" s="6">
        <v>82</v>
      </c>
      <c r="C37" s="4">
        <v>260688</v>
      </c>
      <c r="D37" s="4">
        <v>84143</v>
      </c>
      <c r="E37" s="4">
        <v>83181</v>
      </c>
      <c r="F37" s="10">
        <v>0</v>
      </c>
      <c r="G37" s="10">
        <v>0</v>
      </c>
      <c r="H37" s="11">
        <f t="shared" si="0"/>
        <v>0</v>
      </c>
      <c r="I37" s="11">
        <f t="shared" si="1"/>
        <v>0</v>
      </c>
      <c r="J37" s="12">
        <f>SUM($H$17:H37)</f>
        <v>0</v>
      </c>
      <c r="K37" s="12">
        <f>SUM($I$17:I37)</f>
        <v>0</v>
      </c>
      <c r="L37" s="13">
        <v>0</v>
      </c>
    </row>
    <row r="38" spans="1:12" x14ac:dyDescent="0.25">
      <c r="A38" s="6">
        <v>2047</v>
      </c>
      <c r="B38" s="6">
        <v>83</v>
      </c>
      <c r="C38" s="4">
        <v>264208</v>
      </c>
      <c r="D38" s="4">
        <v>101079</v>
      </c>
      <c r="E38" s="4">
        <v>99759</v>
      </c>
      <c r="F38" s="10">
        <v>0</v>
      </c>
      <c r="G38" s="10">
        <v>0</v>
      </c>
      <c r="H38" s="11">
        <f t="shared" si="0"/>
        <v>0</v>
      </c>
      <c r="I38" s="11">
        <f t="shared" si="1"/>
        <v>0</v>
      </c>
      <c r="J38" s="12">
        <f>SUM($H$17:H38)</f>
        <v>0</v>
      </c>
      <c r="K38" s="12">
        <f>SUM($I$17:I38)</f>
        <v>0</v>
      </c>
    </row>
    <row r="39" spans="1:12" x14ac:dyDescent="0.25">
      <c r="A39" s="6">
        <v>2048</v>
      </c>
      <c r="B39" s="6">
        <v>84</v>
      </c>
      <c r="C39" s="4">
        <v>266976</v>
      </c>
      <c r="D39" s="4">
        <v>119949</v>
      </c>
      <c r="E39" s="4">
        <v>118188</v>
      </c>
      <c r="F39" s="10">
        <v>0</v>
      </c>
      <c r="G39" s="10">
        <v>0</v>
      </c>
      <c r="H39" s="11">
        <f t="shared" si="0"/>
        <v>0</v>
      </c>
      <c r="I39" s="11">
        <f t="shared" si="1"/>
        <v>0</v>
      </c>
      <c r="J39" s="12">
        <f>SUM($H$17:H39)</f>
        <v>0</v>
      </c>
      <c r="K39" s="12">
        <f>SUM($I$17:I39)</f>
        <v>0</v>
      </c>
      <c r="L39" s="13">
        <v>0</v>
      </c>
    </row>
    <row r="40" spans="1:12" x14ac:dyDescent="0.25">
      <c r="A40" s="6">
        <v>2049</v>
      </c>
      <c r="B40" s="6">
        <v>85</v>
      </c>
      <c r="C40" s="4">
        <v>268978</v>
      </c>
      <c r="D40" s="4">
        <v>140860</v>
      </c>
      <c r="E40" s="4">
        <v>138562</v>
      </c>
      <c r="F40" s="10">
        <v>0</v>
      </c>
      <c r="G40" s="10">
        <v>0</v>
      </c>
      <c r="H40" s="11">
        <f t="shared" si="0"/>
        <v>0</v>
      </c>
      <c r="I40" s="11">
        <f t="shared" si="1"/>
        <v>0</v>
      </c>
      <c r="J40" s="12">
        <f>SUM($H$17:H40)</f>
        <v>0</v>
      </c>
      <c r="K40" s="12">
        <f>SUM($I$17:I40)</f>
        <v>0</v>
      </c>
    </row>
    <row r="41" spans="1:12" x14ac:dyDescent="0.25">
      <c r="A41" s="6">
        <v>2050</v>
      </c>
      <c r="B41" s="6">
        <v>86</v>
      </c>
      <c r="C41" s="4">
        <v>270111</v>
      </c>
      <c r="D41" s="4">
        <v>163992</v>
      </c>
      <c r="E41" s="4">
        <v>161048</v>
      </c>
      <c r="F41" s="10">
        <v>0</v>
      </c>
      <c r="G41" s="10">
        <v>0</v>
      </c>
      <c r="H41" s="11">
        <f t="shared" si="0"/>
        <v>0</v>
      </c>
      <c r="I41" s="11">
        <f t="shared" si="1"/>
        <v>0</v>
      </c>
      <c r="J41" s="12">
        <f>SUM($H$17:H41)</f>
        <v>0</v>
      </c>
      <c r="K41" s="12">
        <f>SUM($I$17:I41)</f>
        <v>0</v>
      </c>
      <c r="L41" s="13">
        <v>0</v>
      </c>
    </row>
    <row r="42" spans="1:12" x14ac:dyDescent="0.25">
      <c r="A42" s="6">
        <v>2051</v>
      </c>
      <c r="B42" s="6">
        <v>87</v>
      </c>
      <c r="C42" s="4">
        <v>270261</v>
      </c>
      <c r="D42" s="4">
        <v>189540</v>
      </c>
      <c r="E42" s="4">
        <v>185826</v>
      </c>
      <c r="F42" s="10">
        <v>0</v>
      </c>
      <c r="G42" s="10">
        <v>0</v>
      </c>
      <c r="H42" s="11">
        <f t="shared" si="0"/>
        <v>0</v>
      </c>
      <c r="I42" s="11">
        <f t="shared" si="1"/>
        <v>0</v>
      </c>
      <c r="J42" s="12">
        <f>SUM($H$17:H42)</f>
        <v>0</v>
      </c>
      <c r="K42" s="12">
        <f>SUM($I$17:I42)</f>
        <v>0</v>
      </c>
    </row>
    <row r="43" spans="1:12" x14ac:dyDescent="0.25">
      <c r="A43" s="6">
        <v>2052</v>
      </c>
      <c r="B43" s="6">
        <v>88</v>
      </c>
      <c r="C43" s="4">
        <v>269452</v>
      </c>
      <c r="D43" s="4">
        <v>217603</v>
      </c>
      <c r="E43" s="4">
        <v>212979</v>
      </c>
      <c r="F43" s="10">
        <v>0</v>
      </c>
      <c r="G43" s="10">
        <v>0</v>
      </c>
      <c r="H43" s="11">
        <f t="shared" si="0"/>
        <v>0</v>
      </c>
      <c r="I43" s="11">
        <f t="shared" si="1"/>
        <v>0</v>
      </c>
      <c r="J43" s="12">
        <f>SUM($H$17:H43)</f>
        <v>0</v>
      </c>
      <c r="K43" s="12">
        <f>SUM($I$17:I43)</f>
        <v>0</v>
      </c>
      <c r="L43" s="13">
        <v>0</v>
      </c>
    </row>
    <row r="44" spans="1:12" x14ac:dyDescent="0.25">
      <c r="A44" s="6">
        <v>2053</v>
      </c>
      <c r="B44" s="6">
        <v>89</v>
      </c>
      <c r="C44" s="4">
        <v>267426</v>
      </c>
      <c r="D44" s="4">
        <v>248501</v>
      </c>
      <c r="E44" s="4">
        <v>242808</v>
      </c>
      <c r="F44" s="10">
        <v>0</v>
      </c>
      <c r="G44" s="10">
        <v>0</v>
      </c>
      <c r="H44" s="11">
        <f t="shared" si="0"/>
        <v>0</v>
      </c>
      <c r="I44" s="11">
        <f t="shared" si="1"/>
        <v>0</v>
      </c>
      <c r="J44" s="12">
        <f>SUM($H$17:H44)</f>
        <v>0</v>
      </c>
      <c r="K44" s="12">
        <f>SUM($I$17:I44)</f>
        <v>0</v>
      </c>
    </row>
    <row r="45" spans="1:12" x14ac:dyDescent="0.25">
      <c r="A45" s="6">
        <v>2054</v>
      </c>
      <c r="B45" s="6">
        <v>90</v>
      </c>
      <c r="C45" s="4">
        <v>264225</v>
      </c>
      <c r="D45" s="4">
        <v>282336</v>
      </c>
      <c r="E45" s="4">
        <v>275394</v>
      </c>
      <c r="F45" s="10">
        <v>0</v>
      </c>
      <c r="G45" s="10">
        <v>0</v>
      </c>
      <c r="H45" s="11">
        <f t="shared" si="0"/>
        <v>0</v>
      </c>
      <c r="I45" s="11">
        <f t="shared" si="1"/>
        <v>0</v>
      </c>
      <c r="J45" s="12">
        <f>SUM($H$17:H45)</f>
        <v>0</v>
      </c>
      <c r="K45" s="12">
        <f>SUM($I$17:I45)</f>
        <v>0</v>
      </c>
      <c r="L45" s="13">
        <v>0</v>
      </c>
    </row>
    <row r="46" spans="1:12" x14ac:dyDescent="0.25">
      <c r="A46" s="6">
        <v>2055</v>
      </c>
      <c r="B46" s="6">
        <v>91</v>
      </c>
      <c r="C46" s="4">
        <v>259745</v>
      </c>
      <c r="D46" s="4">
        <v>319332</v>
      </c>
      <c r="E46" s="4">
        <v>310940</v>
      </c>
      <c r="F46" s="10">
        <v>0</v>
      </c>
      <c r="G46" s="10">
        <v>0</v>
      </c>
      <c r="H46" s="11">
        <f t="shared" si="0"/>
        <v>0</v>
      </c>
      <c r="I46" s="11">
        <f t="shared" si="1"/>
        <v>0</v>
      </c>
      <c r="J46" s="12">
        <f>SUM($H$17:H46)</f>
        <v>0</v>
      </c>
      <c r="K46" s="12">
        <f>SUM($I$17:I46)</f>
        <v>0</v>
      </c>
    </row>
    <row r="47" spans="1:12" x14ac:dyDescent="0.25">
      <c r="A47" s="6">
        <v>2056</v>
      </c>
      <c r="B47" s="6">
        <v>92</v>
      </c>
      <c r="C47" s="4">
        <v>253877</v>
      </c>
      <c r="D47" s="4">
        <v>359723</v>
      </c>
      <c r="E47" s="4">
        <v>349656</v>
      </c>
      <c r="F47" s="10">
        <v>0</v>
      </c>
      <c r="G47" s="10">
        <v>0</v>
      </c>
      <c r="H47" s="11">
        <f t="shared" si="0"/>
        <v>0</v>
      </c>
      <c r="I47" s="11">
        <f t="shared" si="1"/>
        <v>0</v>
      </c>
      <c r="J47" s="12">
        <f>SUM($H$17:H47)</f>
        <v>0</v>
      </c>
      <c r="K47" s="12">
        <f>SUM($I$17:I47)</f>
        <v>0</v>
      </c>
      <c r="L47" s="13">
        <v>0</v>
      </c>
    </row>
    <row r="48" spans="1:12" x14ac:dyDescent="0.25">
      <c r="A48" s="6">
        <v>2057</v>
      </c>
      <c r="B48" s="6">
        <v>93</v>
      </c>
      <c r="C48" s="4">
        <v>246512</v>
      </c>
      <c r="D48" s="4">
        <v>403756</v>
      </c>
      <c r="E48" s="4">
        <v>391760</v>
      </c>
      <c r="F48" s="10">
        <v>0</v>
      </c>
      <c r="G48" s="10">
        <v>0</v>
      </c>
      <c r="H48" s="11">
        <f t="shared" si="0"/>
        <v>0</v>
      </c>
      <c r="I48" s="11">
        <f t="shared" si="1"/>
        <v>0</v>
      </c>
      <c r="J48" s="12">
        <f>SUM($H$17:H48)</f>
        <v>0</v>
      </c>
      <c r="K48" s="12">
        <f>SUM($I$17:I48)</f>
        <v>0</v>
      </c>
    </row>
    <row r="49" spans="1:12" x14ac:dyDescent="0.25">
      <c r="A49" s="6">
        <v>2058</v>
      </c>
      <c r="B49" s="6">
        <v>94</v>
      </c>
      <c r="C49" s="4">
        <v>237819</v>
      </c>
      <c r="D49" s="4">
        <v>451480</v>
      </c>
      <c r="E49" s="4">
        <v>437274</v>
      </c>
      <c r="F49" s="10">
        <v>0</v>
      </c>
      <c r="G49" s="10">
        <v>0</v>
      </c>
      <c r="H49" s="11">
        <f t="shared" si="0"/>
        <v>0</v>
      </c>
      <c r="I49" s="11">
        <f t="shared" si="1"/>
        <v>0</v>
      </c>
      <c r="J49" s="12">
        <f>SUM($H$17:H49)</f>
        <v>0</v>
      </c>
      <c r="K49" s="12">
        <f>SUM($I$17:I49)</f>
        <v>0</v>
      </c>
      <c r="L49" s="13">
        <v>0</v>
      </c>
    </row>
    <row r="50" spans="1:12" x14ac:dyDescent="0.25">
      <c r="A50" s="6">
        <v>2059</v>
      </c>
      <c r="B50" s="6"/>
      <c r="C50" s="4">
        <v>220606</v>
      </c>
      <c r="D50" s="4">
        <v>418803</v>
      </c>
      <c r="E50" s="4">
        <v>405098</v>
      </c>
      <c r="F50" s="10">
        <v>64280.61</v>
      </c>
      <c r="G50" s="10">
        <v>61254.49</v>
      </c>
      <c r="H50" s="11">
        <f t="shared" si="0"/>
        <v>3026.1200000000026</v>
      </c>
      <c r="I50" s="11">
        <f t="shared" si="1"/>
        <v>324.50506681304051</v>
      </c>
      <c r="J50" s="12">
        <f>SUM($H$17:H50)</f>
        <v>3026.1200000000026</v>
      </c>
      <c r="K50" s="12">
        <f>SUM($I$17:I50)</f>
        <v>324.50506681304051</v>
      </c>
    </row>
    <row r="51" spans="1:12" x14ac:dyDescent="0.25">
      <c r="A51" s="6">
        <v>2060</v>
      </c>
      <c r="B51" s="6"/>
      <c r="C51" s="4">
        <v>202189</v>
      </c>
      <c r="D51" s="4">
        <v>383839</v>
      </c>
      <c r="E51" s="4">
        <v>370782</v>
      </c>
      <c r="F51" s="10">
        <v>64280.61</v>
      </c>
      <c r="G51" s="10">
        <v>61254.49</v>
      </c>
      <c r="H51" s="11">
        <f t="shared" si="0"/>
        <v>3026.1200000000026</v>
      </c>
      <c r="I51" s="11">
        <f t="shared" si="1"/>
        <v>303.27576337667341</v>
      </c>
      <c r="J51" s="12">
        <f>SUM($H$17:H51)</f>
        <v>6052.2400000000052</v>
      </c>
      <c r="K51" s="12">
        <f>SUM($I$17:I51)</f>
        <v>627.78083018971392</v>
      </c>
      <c r="L51" s="13">
        <v>0</v>
      </c>
    </row>
    <row r="52" spans="1:12" x14ac:dyDescent="0.25">
      <c r="A52" s="6">
        <v>2061</v>
      </c>
      <c r="B52" s="6"/>
      <c r="C52" s="4">
        <v>182482</v>
      </c>
      <c r="D52" s="4">
        <v>346427</v>
      </c>
      <c r="E52" s="4">
        <v>334185</v>
      </c>
      <c r="F52" s="10">
        <v>64280.61</v>
      </c>
      <c r="G52" s="10">
        <v>61254.49</v>
      </c>
      <c r="H52" s="11">
        <f t="shared" si="0"/>
        <v>3026.1200000000026</v>
      </c>
      <c r="I52" s="11">
        <f t="shared" si="1"/>
        <v>283.4352928753957</v>
      </c>
      <c r="J52" s="12">
        <f>SUM($H$17:H52)</f>
        <v>9078.3600000000079</v>
      </c>
      <c r="K52" s="12">
        <f>SUM($I$17:I52)</f>
        <v>911.21612306510963</v>
      </c>
    </row>
    <row r="53" spans="1:12" x14ac:dyDescent="0.25">
      <c r="A53" s="6">
        <v>2062</v>
      </c>
      <c r="B53" s="6"/>
      <c r="C53" s="4">
        <v>161395</v>
      </c>
      <c r="D53" s="4">
        <v>306396</v>
      </c>
      <c r="E53" s="4">
        <v>295154</v>
      </c>
      <c r="F53" s="10">
        <v>64280.61</v>
      </c>
      <c r="G53" s="10">
        <v>61254.49</v>
      </c>
      <c r="H53" s="11">
        <f t="shared" si="0"/>
        <v>3026.1200000000026</v>
      </c>
      <c r="I53" s="11">
        <f t="shared" si="1"/>
        <v>264.89279707980904</v>
      </c>
      <c r="J53" s="12">
        <f>SUM($H$17:H53)</f>
        <v>12104.48000000001</v>
      </c>
      <c r="K53" s="12">
        <f>SUM($I$17:I53)</f>
        <v>1176.1089201449186</v>
      </c>
      <c r="L53" s="13">
        <v>0</v>
      </c>
    </row>
    <row r="54" spans="1:12" x14ac:dyDescent="0.25">
      <c r="A54" s="6">
        <v>2063</v>
      </c>
      <c r="B54" s="6"/>
      <c r="C54" s="4">
        <v>138833</v>
      </c>
      <c r="D54" s="4">
        <v>263563</v>
      </c>
      <c r="E54" s="4">
        <v>253527</v>
      </c>
      <c r="F54" s="10">
        <v>64280.61</v>
      </c>
      <c r="G54" s="10">
        <v>61254.49</v>
      </c>
      <c r="H54" s="11">
        <f t="shared" si="0"/>
        <v>3026.1200000000026</v>
      </c>
      <c r="I54" s="11">
        <f t="shared" si="1"/>
        <v>247.56336175683086</v>
      </c>
      <c r="J54" s="12">
        <f>SUM($H$17:H54)</f>
        <v>15130.600000000013</v>
      </c>
      <c r="K54" s="12">
        <f>SUM($I$17:I54)</f>
        <v>1423.6722819017493</v>
      </c>
    </row>
    <row r="55" spans="1:12" x14ac:dyDescent="0.25">
      <c r="A55" s="6">
        <v>2064</v>
      </c>
      <c r="B55" s="6"/>
      <c r="C55" s="4">
        <v>114691</v>
      </c>
      <c r="D55" s="4">
        <v>217732</v>
      </c>
      <c r="E55" s="4">
        <v>209132</v>
      </c>
      <c r="F55" s="10">
        <v>64280.61</v>
      </c>
      <c r="G55" s="10">
        <v>61254.49</v>
      </c>
      <c r="H55" s="11">
        <f t="shared" si="0"/>
        <v>3026.1200000000026</v>
      </c>
      <c r="I55" s="11">
        <f t="shared" si="1"/>
        <v>231.36762781012231</v>
      </c>
      <c r="J55" s="12">
        <f>SUM($H$17:H55)</f>
        <v>18156.720000000016</v>
      </c>
      <c r="K55" s="12">
        <f>SUM($I$17:I55)</f>
        <v>1655.0399097118716</v>
      </c>
      <c r="L55" s="13">
        <v>0</v>
      </c>
    </row>
    <row r="56" spans="1:12" x14ac:dyDescent="0.25">
      <c r="A56" s="6">
        <v>2065</v>
      </c>
      <c r="B56" s="6"/>
      <c r="C56" s="4">
        <v>88860</v>
      </c>
      <c r="D56" s="4">
        <v>168693</v>
      </c>
      <c r="E56" s="4">
        <v>161785</v>
      </c>
      <c r="F56" s="10">
        <v>64280.61</v>
      </c>
      <c r="G56" s="10">
        <v>61254.49</v>
      </c>
      <c r="H56" s="11">
        <f t="shared" si="0"/>
        <v>3026.1200000000026</v>
      </c>
      <c r="I56" s="11">
        <f t="shared" si="1"/>
        <v>216.23142785992741</v>
      </c>
      <c r="J56" s="12">
        <f>SUM($H$17:H56)</f>
        <v>21182.840000000018</v>
      </c>
      <c r="K56" s="12">
        <f>SUM($I$17:I56)</f>
        <v>1871.271337571799</v>
      </c>
    </row>
    <row r="57" spans="1:12" x14ac:dyDescent="0.25">
      <c r="A57" s="6">
        <v>2066</v>
      </c>
      <c r="B57" s="6"/>
      <c r="C57" s="4">
        <v>61220</v>
      </c>
      <c r="D57" s="4">
        <v>116221</v>
      </c>
      <c r="E57" s="4">
        <v>111289</v>
      </c>
      <c r="F57" s="10">
        <v>64280.61</v>
      </c>
      <c r="G57" s="10">
        <v>61254.49</v>
      </c>
      <c r="H57" s="11">
        <f t="shared" si="0"/>
        <v>3026.1200000000026</v>
      </c>
      <c r="I57" s="11">
        <f t="shared" si="1"/>
        <v>202.08544659806299</v>
      </c>
      <c r="J57" s="12">
        <f>SUM($H$17:H57)</f>
        <v>24208.960000000021</v>
      </c>
      <c r="K57" s="12">
        <f>SUM($I$17:I57)</f>
        <v>2073.3567841698618</v>
      </c>
      <c r="L57" s="13">
        <v>0</v>
      </c>
    </row>
    <row r="58" spans="1:12" x14ac:dyDescent="0.25">
      <c r="A58" s="6">
        <v>2067</v>
      </c>
      <c r="B58" s="6"/>
      <c r="C58" s="4">
        <v>31645</v>
      </c>
      <c r="D58" s="4">
        <v>60075</v>
      </c>
      <c r="E58" s="4">
        <v>57435</v>
      </c>
      <c r="F58" s="10">
        <v>64280.61</v>
      </c>
      <c r="G58" s="10">
        <v>61254.49</v>
      </c>
      <c r="H58" s="11">
        <f t="shared" si="0"/>
        <v>3026.1200000000026</v>
      </c>
      <c r="I58" s="11">
        <f t="shared" si="1"/>
        <v>188.8649033626757</v>
      </c>
      <c r="J58" s="12">
        <f>SUM($H$17:H58)</f>
        <v>27235.080000000024</v>
      </c>
      <c r="K58" s="12">
        <f>SUM($I$17:I58)</f>
        <v>2262.2216875325375</v>
      </c>
    </row>
    <row r="59" spans="1:12" x14ac:dyDescent="0.25">
      <c r="A59" s="6">
        <v>2068</v>
      </c>
      <c r="B59" s="6"/>
      <c r="C59" s="4">
        <v>0</v>
      </c>
      <c r="D59" s="4">
        <v>0</v>
      </c>
      <c r="E59" s="4">
        <v>0</v>
      </c>
      <c r="F59" s="10">
        <v>64280.61</v>
      </c>
      <c r="G59" s="10">
        <v>61254.49</v>
      </c>
      <c r="H59" s="11">
        <f t="shared" si="0"/>
        <v>3026.1200000000026</v>
      </c>
      <c r="I59" s="11">
        <f t="shared" si="1"/>
        <v>176.50925547913616</v>
      </c>
      <c r="J59" s="12">
        <f>SUM($H$17:H59)</f>
        <v>30261.200000000026</v>
      </c>
      <c r="K59" s="12">
        <f>SUM($I$17:I59)</f>
        <v>2438.7309430116738</v>
      </c>
      <c r="L59" s="13">
        <v>0</v>
      </c>
    </row>
    <row r="61" spans="1:12" x14ac:dyDescent="0.25">
      <c r="A61" s="14" t="s">
        <v>28</v>
      </c>
      <c r="H61" s="15">
        <f>SUM(H17:H59)</f>
        <v>30261.200000000026</v>
      </c>
      <c r="I61" s="15">
        <f>SUM(I17:I59)</f>
        <v>2438.7309430116738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SRC alpha</vt:lpstr>
      <vt:lpstr>RMD 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Cheshire</cp:lastModifiedBy>
  <dcterms:created xsi:type="dcterms:W3CDTF">2026-10-19T10:56:29Z</dcterms:created>
  <dcterms:modified xsi:type="dcterms:W3CDTF">2026-10-19T16:43:57Z</dcterms:modified>
</cp:coreProperties>
</file>